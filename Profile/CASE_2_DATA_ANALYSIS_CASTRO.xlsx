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defaultThemeVersion="166925"/>
  <mc:AlternateContent xmlns:mc="http://schemas.openxmlformats.org/markup-compatibility/2006">
    <mc:Choice Requires="x15">
      <x15ac:absPath xmlns:x15ac="http://schemas.microsoft.com/office/spreadsheetml/2010/11/ac" url="C:\Users\AJHAY\Downloads\"/>
    </mc:Choice>
  </mc:AlternateContent>
  <xr:revisionPtr revIDLastSave="0" documentId="13_ncr:1_{4B1A981C-47FE-430C-9A05-7AD1415255FA}" xr6:coauthVersionLast="47" xr6:coauthVersionMax="47" xr10:uidLastSave="{00000000-0000-0000-0000-000000000000}"/>
  <bookViews>
    <workbookView xWindow="-120" yWindow="-120" windowWidth="21840" windowHeight="13140" activeTab="1" xr2:uid="{BDDE53DD-D605-40DB-B68A-FC44D1329E9E}"/>
  </bookViews>
  <sheets>
    <sheet name="CASE 2" sheetId="1" r:id="rId1"/>
    <sheet name="ANSWER" sheetId="2" r:id="rId2"/>
  </sheets>
  <calcPr calcId="191029"/>
  <pivotCaches>
    <pivotCache cacheId="4" r:id="rId3"/>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52" i="2" l="1"/>
  <c r="B51" i="2"/>
  <c r="B50" i="2"/>
  <c r="B49" i="2"/>
  <c r="C45" i="2"/>
  <c r="C44" i="2"/>
  <c r="C43" i="2"/>
  <c r="C42" i="2"/>
  <c r="B45" i="2"/>
  <c r="B44" i="2"/>
  <c r="B43" i="2"/>
  <c r="B42" i="2"/>
  <c r="A45" i="2"/>
  <c r="A44" i="2"/>
  <c r="A43" i="2"/>
  <c r="A42" i="2"/>
  <c r="D38" i="2"/>
  <c r="D37" i="2"/>
  <c r="C38" i="2"/>
  <c r="C37" i="2"/>
  <c r="B38" i="2"/>
  <c r="B37" i="2"/>
  <c r="C31" i="2"/>
  <c r="B31" i="2"/>
  <c r="C30" i="2"/>
  <c r="B30" i="2"/>
  <c r="C29" i="2"/>
  <c r="B29" i="2"/>
  <c r="C28" i="2"/>
  <c r="B28" i="2"/>
  <c r="C27" i="2"/>
  <c r="B27" i="2"/>
  <c r="C26" i="2"/>
  <c r="B26" i="2"/>
  <c r="A31" i="2"/>
  <c r="A30" i="2"/>
  <c r="A29" i="2"/>
  <c r="A28" i="2"/>
  <c r="A27" i="2"/>
  <c r="A26" i="2"/>
  <c r="C22" i="2"/>
  <c r="B22" i="2"/>
  <c r="C21" i="2"/>
  <c r="B21" i="2"/>
  <c r="C20" i="2"/>
  <c r="B20" i="2"/>
  <c r="B19" i="2"/>
  <c r="C19" i="2"/>
  <c r="A22" i="2"/>
  <c r="A21" i="2"/>
  <c r="A20" i="2"/>
  <c r="A19" i="2"/>
  <c r="C15" i="2"/>
  <c r="C14" i="2"/>
  <c r="B11" i="2"/>
  <c r="B10" i="2"/>
  <c r="B9" i="2"/>
  <c r="B8" i="2"/>
  <c r="B7" i="2"/>
</calcChain>
</file>

<file path=xl/sharedStrings.xml><?xml version="1.0" encoding="utf-8"?>
<sst xmlns="http://schemas.openxmlformats.org/spreadsheetml/2006/main" count="321" uniqueCount="122">
  <si>
    <t>Order_ID</t>
  </si>
  <si>
    <t>Order_Day</t>
  </si>
  <si>
    <t>Category</t>
  </si>
  <si>
    <t>Product</t>
  </si>
  <si>
    <t>Customer_Type</t>
  </si>
  <si>
    <t>Payment_Method</t>
  </si>
  <si>
    <t>Units</t>
  </si>
  <si>
    <t>Unit_Price</t>
  </si>
  <si>
    <t>Discount_Pct</t>
  </si>
  <si>
    <t>Shipping_Fee</t>
  </si>
  <si>
    <t>Total_Sales</t>
  </si>
  <si>
    <t>O2000</t>
  </si>
  <si>
    <t>Software</t>
  </si>
  <si>
    <t>SSD</t>
  </si>
  <si>
    <t>Returning</t>
  </si>
  <si>
    <t>Bank</t>
  </si>
  <si>
    <t>O2001</t>
  </si>
  <si>
    <t>Accessories</t>
  </si>
  <si>
    <t>Headset</t>
  </si>
  <si>
    <t>O2002</t>
  </si>
  <si>
    <t>Gadgets</t>
  </si>
  <si>
    <t>Webcam</t>
  </si>
  <si>
    <t>COD</t>
  </si>
  <si>
    <t>O2003</t>
  </si>
  <si>
    <t>New</t>
  </si>
  <si>
    <t>GCash</t>
  </si>
  <si>
    <t>O2004</t>
  </si>
  <si>
    <t>Electronics</t>
  </si>
  <si>
    <t>USB Drive</t>
  </si>
  <si>
    <t>O2005</t>
  </si>
  <si>
    <t>Keyboard</t>
  </si>
  <si>
    <t>O2006</t>
  </si>
  <si>
    <t>O2007</t>
  </si>
  <si>
    <t>O2008</t>
  </si>
  <si>
    <t>O2009</t>
  </si>
  <si>
    <t>O2010</t>
  </si>
  <si>
    <t>O2011</t>
  </si>
  <si>
    <t>Card</t>
  </si>
  <si>
    <t>O2012</t>
  </si>
  <si>
    <t>O2013</t>
  </si>
  <si>
    <t>Mouse</t>
  </si>
  <si>
    <t>O2014</t>
  </si>
  <si>
    <t>O2015</t>
  </si>
  <si>
    <t>O2016</t>
  </si>
  <si>
    <t>O2017</t>
  </si>
  <si>
    <t>O2018</t>
  </si>
  <si>
    <t>O2019</t>
  </si>
  <si>
    <t>O2020</t>
  </si>
  <si>
    <t>O2021</t>
  </si>
  <si>
    <t>O2022</t>
  </si>
  <si>
    <t>O2023</t>
  </si>
  <si>
    <t>O2024</t>
  </si>
  <si>
    <t>O2025</t>
  </si>
  <si>
    <t>O2026</t>
  </si>
  <si>
    <t>O2027</t>
  </si>
  <si>
    <t>O2028</t>
  </si>
  <si>
    <t>O2029</t>
  </si>
  <si>
    <t>O2030</t>
  </si>
  <si>
    <t>O2031</t>
  </si>
  <si>
    <t>O2032</t>
  </si>
  <si>
    <t>O2033</t>
  </si>
  <si>
    <t>O2034</t>
  </si>
  <si>
    <t>O2035</t>
  </si>
  <si>
    <t>O2036</t>
  </si>
  <si>
    <t>O2037</t>
  </si>
  <si>
    <t>O2038</t>
  </si>
  <si>
    <t>O2039</t>
  </si>
  <si>
    <t>O2040</t>
  </si>
  <si>
    <t>O2041</t>
  </si>
  <si>
    <t>O2042</t>
  </si>
  <si>
    <t>O2043</t>
  </si>
  <si>
    <t>O2044</t>
  </si>
  <si>
    <t>O2045</t>
  </si>
  <si>
    <t>O2046</t>
  </si>
  <si>
    <t>O2047</t>
  </si>
  <si>
    <t>O2048</t>
  </si>
  <si>
    <t>O2049</t>
  </si>
  <si>
    <t>CASE STUDY NUMBER 2 ONLINE STORE SALES ANALYSIS</t>
  </si>
  <si>
    <t>TASK 1 &amp; 2</t>
  </si>
  <si>
    <r>
      <t xml:space="preserve">The raw dataset contains exactly 50 rows. There are </t>
    </r>
    <r>
      <rPr>
        <b/>
        <sz val="12"/>
        <color theme="1"/>
        <rFont val="Calibri"/>
        <family val="2"/>
        <scheme val="minor"/>
      </rPr>
      <t>0 missing or invalid values</t>
    </r>
    <r>
      <rPr>
        <sz val="12"/>
        <color theme="1"/>
        <rFont val="Calibri"/>
        <family val="2"/>
        <scheme val="minor"/>
      </rPr>
      <t xml:space="preserve">, and </t>
    </r>
    <r>
      <rPr>
        <b/>
        <sz val="12"/>
        <color theme="1"/>
        <rFont val="Calibri"/>
        <family val="2"/>
        <scheme val="minor"/>
      </rPr>
      <t>0 duplicate Order IDs</t>
    </r>
    <r>
      <rPr>
        <sz val="12"/>
        <color theme="1"/>
        <rFont val="Calibri"/>
        <family val="2"/>
        <scheme val="minor"/>
      </rPr>
      <t>. The data is clean and ready for analysis.</t>
    </r>
  </si>
  <si>
    <t>TASK 3</t>
  </si>
  <si>
    <t>TOTAL:</t>
  </si>
  <si>
    <t>MEAN:</t>
  </si>
  <si>
    <t>MEDIAN:</t>
  </si>
  <si>
    <t>MINIMUM:</t>
  </si>
  <si>
    <t>MAXIMUM:</t>
  </si>
  <si>
    <t>TASK 4</t>
  </si>
  <si>
    <t>TOTAL UNIT SOLD:</t>
  </si>
  <si>
    <t>AVERAGE PER ORDER:</t>
  </si>
  <si>
    <t>TASK 5 (PRODUCT CATEGORY)</t>
  </si>
  <si>
    <t>TOTAL SALES</t>
  </si>
  <si>
    <t>NO. OF ORDER</t>
  </si>
  <si>
    <t>TASK 6</t>
  </si>
  <si>
    <t>CATEGORY</t>
  </si>
  <si>
    <t>PRODUCT</t>
  </si>
  <si>
    <t>SALES</t>
  </si>
  <si>
    <t>UNIT SOLD</t>
  </si>
  <si>
    <t>HIGHEST NUMBER OF SALES</t>
  </si>
  <si>
    <t>HIGHEST NUMBER OF SOLD UNIT</t>
  </si>
  <si>
    <t>TASK 7</t>
  </si>
  <si>
    <t>NEW CUSTOMERS</t>
  </si>
  <si>
    <t>RETURNING CUSTOMERS</t>
  </si>
  <si>
    <t>CUSTOMER TYPE</t>
  </si>
  <si>
    <t>NO. OF ORDERS</t>
  </si>
  <si>
    <t>AVERAGE SALES</t>
  </si>
  <si>
    <t>TASK 8</t>
  </si>
  <si>
    <t>PAYMENT METHOD</t>
  </si>
  <si>
    <t>TASK 9</t>
  </si>
  <si>
    <t>DISCOUNT %</t>
  </si>
  <si>
    <t>TASK 10</t>
  </si>
  <si>
    <t>TASK 11</t>
  </si>
  <si>
    <t>Grand Total</t>
  </si>
  <si>
    <t>Orders</t>
  </si>
  <si>
    <t>Unit Sold</t>
  </si>
  <si>
    <t>Total Sales</t>
  </si>
  <si>
    <t>TASK 12</t>
  </si>
  <si>
    <t>Transaction</t>
  </si>
  <si>
    <t>Sales</t>
  </si>
  <si>
    <t>TASK 13 MAJOR PATTERN AND FINDINGS</t>
  </si>
  <si>
    <t>TASK 14 EVIDENCE-BASED RECOMMENDATIONS</t>
  </si>
  <si>
    <t xml:space="preserve">CASTRO, JHAY L. </t>
  </si>
  <si>
    <t>4TH YEAR SET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</si>
</sst>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sz val="12"/>
      <color theme="1"/>
      <name val="Calibri"/>
      <family val="2"/>
      <scheme val="minor"/>
    </font>
    <font>
      <b/>
      <sz val="12"/>
      <color theme="1"/>
      <name val="Calibri"/>
      <family val="2"/>
      <scheme val="minor"/>
    </font>
    <font>
      <sz val="8"/>
      <name val="Calibri"/>
      <family val="2"/>
      <scheme val="minor"/>
    </font>
  </fonts>
  <fills count="4">
    <fill>
      <patternFill patternType="none"/>
    </fill>
    <fill>
      <patternFill patternType="gray125"/>
    </fill>
    <fill>
      <patternFill patternType="solid">
        <fgColor rgb="FFFFFF00"/>
        <bgColor indexed="64"/>
      </patternFill>
    </fill>
    <fill>
      <patternFill patternType="solid">
        <fgColor rgb="FF00B0F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1">
    <xf numFmtId="0" fontId="0" fillId="0" borderId="0" xfId="0"/>
    <xf numFmtId="0" fontId="1" fillId="0" borderId="0" xfId="0" applyFont="1"/>
    <xf numFmtId="0" fontId="0" fillId="0" borderId="0" xfId="0" applyAlignment="1">
      <alignment horizontal="center"/>
    </xf>
    <xf numFmtId="0" fontId="1" fillId="0" borderId="0" xfId="0" applyFont="1" applyAlignment="1">
      <alignment horizontal="left"/>
    </xf>
    <xf numFmtId="0" fontId="2" fillId="0" borderId="0" xfId="0" applyFont="1"/>
    <xf numFmtId="0" fontId="1" fillId="0" borderId="1" xfId="0" applyFont="1" applyBorder="1"/>
    <xf numFmtId="0" fontId="0" fillId="0" borderId="1" xfId="0" applyBorder="1"/>
    <xf numFmtId="0" fontId="1" fillId="0" borderId="1" xfId="0" applyFont="1" applyBorder="1" applyAlignment="1">
      <alignment horizontal="left"/>
    </xf>
    <xf numFmtId="0" fontId="1" fillId="0" borderId="1" xfId="0" applyFont="1" applyBorder="1" applyAlignment="1">
      <alignment horizontal="left"/>
    </xf>
    <xf numFmtId="0" fontId="1" fillId="0" borderId="1" xfId="0" applyFont="1" applyBorder="1" applyAlignment="1">
      <alignment horizontal="center"/>
    </xf>
    <xf numFmtId="0" fontId="0" fillId="0" borderId="1" xfId="0" applyFont="1" applyBorder="1" applyAlignment="1">
      <alignment horizontal="left"/>
    </xf>
    <xf numFmtId="0" fontId="1" fillId="0" borderId="1" xfId="0" applyFont="1" applyBorder="1" applyAlignment="1">
      <alignment horizontal="right"/>
    </xf>
    <xf numFmtId="0" fontId="0" fillId="2" borderId="1" xfId="0" applyFill="1" applyBorder="1"/>
    <xf numFmtId="0" fontId="1" fillId="2" borderId="1" xfId="0" applyFont="1" applyFill="1" applyBorder="1"/>
    <xf numFmtId="0" fontId="0" fillId="2" borderId="1" xfId="0" applyFill="1" applyBorder="1" applyAlignment="1">
      <alignment horizontal="center"/>
    </xf>
    <xf numFmtId="0" fontId="1" fillId="2" borderId="1" xfId="0" applyFont="1" applyFill="1" applyBorder="1"/>
    <xf numFmtId="0" fontId="1" fillId="3" borderId="1" xfId="0" applyFont="1" applyFill="1" applyBorder="1"/>
    <xf numFmtId="0" fontId="0" fillId="3" borderId="1" xfId="0" applyFill="1" applyBorder="1" applyAlignment="1">
      <alignment horizontal="center"/>
    </xf>
    <xf numFmtId="0" fontId="0" fillId="3" borderId="1" xfId="0" applyFill="1" applyBorder="1"/>
    <xf numFmtId="0" fontId="1" fillId="3" borderId="1" xfId="0" applyFont="1" applyFill="1" applyBorder="1"/>
    <xf numFmtId="0" fontId="1" fillId="0" borderId="1" xfId="0" applyFont="1" applyFill="1" applyBorder="1"/>
    <xf numFmtId="0" fontId="0" fillId="0" borderId="1" xfId="0" applyFont="1" applyBorder="1"/>
    <xf numFmtId="9" fontId="1" fillId="0" borderId="1" xfId="0" applyNumberFormat="1" applyFont="1" applyBorder="1" applyAlignment="1">
      <alignment horizontal="left"/>
    </xf>
    <xf numFmtId="0" fontId="0" fillId="0" borderId="1" xfId="0" pivotButton="1" applyBorder="1"/>
    <xf numFmtId="0" fontId="0" fillId="0" borderId="1" xfId="0" applyBorder="1" applyAlignment="1">
      <alignment horizontal="left"/>
    </xf>
    <xf numFmtId="0" fontId="0" fillId="0" borderId="1" xfId="0" applyNumberFormat="1" applyBorder="1"/>
    <xf numFmtId="0" fontId="3" fillId="0" borderId="0" xfId="0" applyFont="1"/>
    <xf numFmtId="0" fontId="0" fillId="0" borderId="0" xfId="0" applyFill="1"/>
    <xf numFmtId="0" fontId="1" fillId="3" borderId="0" xfId="0" applyFont="1" applyFill="1"/>
    <xf numFmtId="0" fontId="0" fillId="3" borderId="0" xfId="0" applyFill="1"/>
    <xf numFmtId="0" fontId="1" fillId="0" borderId="0" xfId="0" applyFont="1" applyFill="1"/>
  </cellXfs>
  <cellStyles count="1">
    <cellStyle name="Normal" xfId="0" builtinId="0"/>
  </cellStyles>
  <dxfs count="25">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PH"/>
              <a:t>Order by Payment Method</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ANSWER!$B$41</c:f>
              <c:strCache>
                <c:ptCount val="1"/>
                <c:pt idx="0">
                  <c:v>NO. OF ORDERS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ANSWER!$A$42:$A$45</c:f>
              <c:strCache>
                <c:ptCount val="4"/>
                <c:pt idx="0">
                  <c:v>Bank</c:v>
                </c:pt>
                <c:pt idx="1">
                  <c:v>Bank</c:v>
                </c:pt>
                <c:pt idx="2">
                  <c:v>COD</c:v>
                </c:pt>
                <c:pt idx="3">
                  <c:v>GCash</c:v>
                </c:pt>
              </c:strCache>
            </c:strRef>
          </c:cat>
          <c:val>
            <c:numRef>
              <c:f>ANSWER!$B$42:$B$45</c:f>
              <c:numCache>
                <c:formatCode>General</c:formatCode>
                <c:ptCount val="4"/>
                <c:pt idx="0">
                  <c:v>17</c:v>
                </c:pt>
                <c:pt idx="1">
                  <c:v>8</c:v>
                </c:pt>
                <c:pt idx="2">
                  <c:v>14</c:v>
                </c:pt>
                <c:pt idx="3">
                  <c:v>11</c:v>
                </c:pt>
              </c:numCache>
            </c:numRef>
          </c:val>
          <c:extLst>
            <c:ext xmlns:c16="http://schemas.microsoft.com/office/drawing/2014/chart" uri="{C3380CC4-5D6E-409C-BE32-E72D297353CC}">
              <c16:uniqueId val="{00000000-FA3B-4270-B113-4392AB929826}"/>
            </c:ext>
          </c:extLst>
        </c:ser>
        <c:dLbls>
          <c:dLblPos val="ctr"/>
          <c:showLegendKey val="0"/>
          <c:showVal val="1"/>
          <c:showCatName val="0"/>
          <c:showSerName val="0"/>
          <c:showPercent val="0"/>
          <c:showBubbleSize val="0"/>
        </c:dLbls>
        <c:gapWidth val="79"/>
        <c:overlap val="100"/>
        <c:axId val="754646111"/>
        <c:axId val="754638431"/>
      </c:barChart>
      <c:catAx>
        <c:axId val="75464611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754638431"/>
        <c:crosses val="autoZero"/>
        <c:auto val="1"/>
        <c:lblAlgn val="ctr"/>
        <c:lblOffset val="100"/>
        <c:noMultiLvlLbl val="0"/>
      </c:catAx>
      <c:valAx>
        <c:axId val="754638431"/>
        <c:scaling>
          <c:orientation val="minMax"/>
        </c:scaling>
        <c:delete val="1"/>
        <c:axPos val="l"/>
        <c:numFmt formatCode="General" sourceLinked="1"/>
        <c:majorTickMark val="none"/>
        <c:minorTickMark val="none"/>
        <c:tickLblPos val="nextTo"/>
        <c:crossAx val="7546461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PH"/>
              <a:t>Sales by Product Category</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stack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ANSWER!$A$19:$A$22</c:f>
              <c:strCache>
                <c:ptCount val="4"/>
                <c:pt idx="0">
                  <c:v>Electronics</c:v>
                </c:pt>
                <c:pt idx="1">
                  <c:v>Accessories</c:v>
                </c:pt>
                <c:pt idx="2">
                  <c:v>Gadgets</c:v>
                </c:pt>
                <c:pt idx="3">
                  <c:v>Software</c:v>
                </c:pt>
              </c:strCache>
            </c:strRef>
          </c:cat>
          <c:val>
            <c:numRef>
              <c:f>ANSWER!$B$19:$B$22</c:f>
              <c:numCache>
                <c:formatCode>General</c:formatCode>
                <c:ptCount val="4"/>
                <c:pt idx="0">
                  <c:v>29040</c:v>
                </c:pt>
                <c:pt idx="1">
                  <c:v>6612.5</c:v>
                </c:pt>
                <c:pt idx="2">
                  <c:v>19440</c:v>
                </c:pt>
                <c:pt idx="3">
                  <c:v>31587.5</c:v>
                </c:pt>
              </c:numCache>
            </c:numRef>
          </c:val>
          <c:extLst>
            <c:ext xmlns:c16="http://schemas.microsoft.com/office/drawing/2014/chart" uri="{C3380CC4-5D6E-409C-BE32-E72D297353CC}">
              <c16:uniqueId val="{00000000-2F2B-419D-BA59-538B7CD4E592}"/>
            </c:ext>
          </c:extLst>
        </c:ser>
        <c:dLbls>
          <c:dLblPos val="ctr"/>
          <c:showLegendKey val="0"/>
          <c:showVal val="1"/>
          <c:showCatName val="0"/>
          <c:showSerName val="0"/>
          <c:showPercent val="0"/>
          <c:showBubbleSize val="0"/>
        </c:dLbls>
        <c:gapWidth val="79"/>
        <c:overlap val="100"/>
        <c:axId val="754526079"/>
        <c:axId val="838740207"/>
      </c:barChart>
      <c:catAx>
        <c:axId val="754526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838740207"/>
        <c:crosses val="autoZero"/>
        <c:auto val="1"/>
        <c:lblAlgn val="ctr"/>
        <c:lblOffset val="100"/>
        <c:noMultiLvlLbl val="0"/>
      </c:catAx>
      <c:valAx>
        <c:axId val="838740207"/>
        <c:scaling>
          <c:orientation val="minMax"/>
        </c:scaling>
        <c:delete val="1"/>
        <c:axPos val="b"/>
        <c:numFmt formatCode="General" sourceLinked="1"/>
        <c:majorTickMark val="none"/>
        <c:minorTickMark val="none"/>
        <c:tickLblPos val="nextTo"/>
        <c:crossAx val="7545260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PH"/>
              <a:t>Sales by Customer Type</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(ANSWER!$A$37,ANSWER!$A$38)</c:f>
              <c:strCache>
                <c:ptCount val="2"/>
                <c:pt idx="0">
                  <c:v>NEW CUSTOMERS</c:v>
                </c:pt>
                <c:pt idx="1">
                  <c:v>RETURNING CUSTOMERS</c:v>
                </c:pt>
              </c:strCache>
            </c:strRef>
          </c:cat>
          <c:val>
            <c:numRef>
              <c:f>(ANSWER!$C$37,ANSWER!$C$38)</c:f>
              <c:numCache>
                <c:formatCode>General</c:formatCode>
                <c:ptCount val="2"/>
                <c:pt idx="0">
                  <c:v>1903.5869565217392</c:v>
                </c:pt>
                <c:pt idx="1">
                  <c:v>1588.7962962962963</c:v>
                </c:pt>
              </c:numCache>
            </c:numRef>
          </c:val>
          <c:extLst>
            <c:ext xmlns:c16="http://schemas.microsoft.com/office/drawing/2014/chart" uri="{C3380CC4-5D6E-409C-BE32-E72D297353CC}">
              <c16:uniqueId val="{00000000-3A87-4031-9380-31A19CEFD119}"/>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69</xdr:row>
      <xdr:rowOff>4762</xdr:rowOff>
    </xdr:from>
    <xdr:to>
      <xdr:col>3</xdr:col>
      <xdr:colOff>828675</xdr:colOff>
      <xdr:row>83</xdr:row>
      <xdr:rowOff>80962</xdr:rowOff>
    </xdr:to>
    <xdr:graphicFrame macro="">
      <xdr:nvGraphicFramePr>
        <xdr:cNvPr id="3" name="Chart 2">
          <a:extLst>
            <a:ext uri="{FF2B5EF4-FFF2-40B4-BE49-F238E27FC236}">
              <a16:creationId xmlns:a16="http://schemas.microsoft.com/office/drawing/2014/main" id="{A7076416-0E9F-43D1-DD9B-F62DD005D2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33337</xdr:colOff>
      <xdr:row>54</xdr:row>
      <xdr:rowOff>14287</xdr:rowOff>
    </xdr:from>
    <xdr:to>
      <xdr:col>3</xdr:col>
      <xdr:colOff>862012</xdr:colOff>
      <xdr:row>68</xdr:row>
      <xdr:rowOff>90487</xdr:rowOff>
    </xdr:to>
    <xdr:graphicFrame macro="">
      <xdr:nvGraphicFramePr>
        <xdr:cNvPr id="4" name="Chart 3">
          <a:extLst>
            <a:ext uri="{FF2B5EF4-FFF2-40B4-BE49-F238E27FC236}">
              <a16:creationId xmlns:a16="http://schemas.microsoft.com/office/drawing/2014/main" id="{8E71A41F-E707-1A1A-B28A-9457C3014A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84</xdr:row>
      <xdr:rowOff>4762</xdr:rowOff>
    </xdr:from>
    <xdr:to>
      <xdr:col>3</xdr:col>
      <xdr:colOff>828675</xdr:colOff>
      <xdr:row>98</xdr:row>
      <xdr:rowOff>80962</xdr:rowOff>
    </xdr:to>
    <xdr:graphicFrame macro="">
      <xdr:nvGraphicFramePr>
        <xdr:cNvPr id="6" name="Chart 5">
          <a:extLst>
            <a:ext uri="{FF2B5EF4-FFF2-40B4-BE49-F238E27FC236}">
              <a16:creationId xmlns:a16="http://schemas.microsoft.com/office/drawing/2014/main" id="{314A523B-DC08-1E25-7A26-273050EF9E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128</xdr:row>
      <xdr:rowOff>180975</xdr:rowOff>
    </xdr:from>
    <xdr:to>
      <xdr:col>12</xdr:col>
      <xdr:colOff>447675</xdr:colOff>
      <xdr:row>137</xdr:row>
      <xdr:rowOff>85725</xdr:rowOff>
    </xdr:to>
    <xdr:sp macro="" textlink="">
      <xdr:nvSpPr>
        <xdr:cNvPr id="7" name="TextBox 6">
          <a:extLst>
            <a:ext uri="{FF2B5EF4-FFF2-40B4-BE49-F238E27FC236}">
              <a16:creationId xmlns:a16="http://schemas.microsoft.com/office/drawing/2014/main" id="{6DB4724F-9538-DC93-F6A2-AD8F9DB757F2}"/>
            </a:ext>
          </a:extLst>
        </xdr:cNvPr>
        <xdr:cNvSpPr txBox="1"/>
      </xdr:nvSpPr>
      <xdr:spPr>
        <a:xfrm>
          <a:off x="0" y="24612600"/>
          <a:ext cx="8629650" cy="16192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PH" sz="1100" b="1">
              <a:solidFill>
                <a:schemeClr val="dk1"/>
              </a:solidFill>
              <a:effectLst/>
              <a:latin typeface="+mn-lt"/>
              <a:ea typeface="+mn-ea"/>
              <a:cs typeface="+mn-cs"/>
            </a:rPr>
            <a:t>1. Enhance Retention Efforts:</a:t>
          </a:r>
          <a:r>
            <a:rPr lang="en-PH" sz="1100">
              <a:solidFill>
                <a:schemeClr val="dk1"/>
              </a:solidFill>
              <a:effectLst/>
              <a:latin typeface="+mn-lt"/>
              <a:ea typeface="+mn-ea"/>
              <a:cs typeface="+mn-cs"/>
            </a:rPr>
            <a:t> Since Returning Customers spend more per transaction (1,885.28 vs 1,555.54 average), the store should implement post-purchase follow-ups or a loyalty system to quickly convert the 23 New Customers into repeat buyers.</a:t>
          </a:r>
        </a:p>
        <a:p>
          <a:pPr marL="0" marR="0" lvl="0" indent="0" defTabSz="914400" eaLnBrk="1" fontAlgn="auto" latinLnBrk="0" hangingPunct="1">
            <a:lnSpc>
              <a:spcPct val="100000"/>
            </a:lnSpc>
            <a:spcBef>
              <a:spcPts val="0"/>
            </a:spcBef>
            <a:spcAft>
              <a:spcPts val="0"/>
            </a:spcAft>
            <a:buClrTx/>
            <a:buSzTx/>
            <a:buFontTx/>
            <a:buNone/>
            <a:tabLst/>
            <a:defRPr/>
          </a:pPr>
          <a:endParaRPr lang="en-PH" sz="110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PH" sz="1100" b="1">
              <a:solidFill>
                <a:schemeClr val="dk1"/>
              </a:solidFill>
              <a:effectLst/>
              <a:latin typeface="+mn-lt"/>
              <a:ea typeface="+mn-ea"/>
              <a:cs typeface="+mn-cs"/>
            </a:rPr>
            <a:t>2. </a:t>
          </a:r>
          <a:r>
            <a:rPr lang="en-PH" b="1"/>
            <a:t>Optimize the Discount Strategy:</a:t>
          </a:r>
          <a:r>
            <a:rPr lang="en-PH"/>
            <a:t> Reevaluate the 10% and 15% discount tiers, as they yield the lowest total sales. The store should reallocate those margins to promote the highly successful 5% discount tier, which currently drives the highest overall transaction volume (20 orders).</a:t>
          </a:r>
        </a:p>
        <a:p>
          <a:pPr marL="0" marR="0" lvl="0" indent="0" defTabSz="914400" eaLnBrk="1" fontAlgn="auto" latinLnBrk="0" hangingPunct="1">
            <a:lnSpc>
              <a:spcPct val="100000"/>
            </a:lnSpc>
            <a:spcBef>
              <a:spcPts val="0"/>
            </a:spcBef>
            <a:spcAft>
              <a:spcPts val="0"/>
            </a:spcAft>
            <a:buClrTx/>
            <a:buSzTx/>
            <a:buFontTx/>
            <a:buNone/>
            <a:tabLst/>
            <a:defRPr/>
          </a:pPr>
          <a:endParaRPr lang="en-PH" sz="1100" b="1">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PH" sz="1100" b="1">
              <a:solidFill>
                <a:schemeClr val="dk1"/>
              </a:solidFill>
              <a:effectLst/>
              <a:latin typeface="+mn-lt"/>
              <a:ea typeface="+mn-ea"/>
              <a:cs typeface="+mn-cs"/>
            </a:rPr>
            <a:t>3. </a:t>
          </a:r>
          <a:r>
            <a:rPr lang="en-PH" b="1"/>
            <a:t>Cross-Sell High-Volume Components:</a:t>
          </a:r>
          <a:r>
            <a:rPr lang="en-PH"/>
            <a:t> Since SSDs are the most frequently purchased item (33 units) but Webcams drive the most overall revenue, create "PC Upgrade" or "Work from Home" bundles that combine SSDs with Webcams or Headsets to organically push higher cart values.</a:t>
          </a:r>
          <a:endParaRPr lang="en-PH" sz="1100" b="1">
            <a:solidFill>
              <a:schemeClr val="dk1"/>
            </a:solidFill>
            <a:effectLst/>
            <a:latin typeface="+mn-lt"/>
            <a:ea typeface="+mn-ea"/>
            <a:cs typeface="+mn-cs"/>
          </a:endParaRPr>
        </a:p>
        <a:p>
          <a:endParaRPr lang="en-PH" sz="1100"/>
        </a:p>
      </xdr:txBody>
    </xdr:sp>
    <xdr:clientData/>
  </xdr:twoCellAnchor>
  <xdr:twoCellAnchor>
    <xdr:from>
      <xdr:col>0</xdr:col>
      <xdr:colOff>0</xdr:colOff>
      <xdr:row>119</xdr:row>
      <xdr:rowOff>0</xdr:rowOff>
    </xdr:from>
    <xdr:to>
      <xdr:col>12</xdr:col>
      <xdr:colOff>447675</xdr:colOff>
      <xdr:row>127</xdr:row>
      <xdr:rowOff>9525</xdr:rowOff>
    </xdr:to>
    <xdr:sp macro="" textlink="">
      <xdr:nvSpPr>
        <xdr:cNvPr id="8" name="TextBox 7">
          <a:extLst>
            <a:ext uri="{FF2B5EF4-FFF2-40B4-BE49-F238E27FC236}">
              <a16:creationId xmlns:a16="http://schemas.microsoft.com/office/drawing/2014/main" id="{7802F89C-C810-06A3-6313-9FEAF3A9E2CF}"/>
            </a:ext>
          </a:extLst>
        </xdr:cNvPr>
        <xdr:cNvSpPr txBox="1"/>
      </xdr:nvSpPr>
      <xdr:spPr>
        <a:xfrm>
          <a:off x="0" y="22679025"/>
          <a:ext cx="8629650" cy="15716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1100" b="1" i="0" u="none" strike="noStrike">
              <a:solidFill>
                <a:schemeClr val="dk1"/>
              </a:solidFill>
              <a:effectLst/>
              <a:latin typeface="+mn-lt"/>
              <a:ea typeface="+mn-ea"/>
              <a:cs typeface="+mn-cs"/>
            </a:rPr>
            <a:t>Loyalty Dominates:</a:t>
          </a:r>
          <a:r>
            <a:rPr lang="en-PH" sz="1100" b="0" i="0" u="none" strike="noStrike">
              <a:solidFill>
                <a:schemeClr val="dk1"/>
              </a:solidFill>
              <a:effectLst/>
              <a:latin typeface="+mn-lt"/>
              <a:ea typeface="+mn-ea"/>
              <a:cs typeface="+mn-cs"/>
            </a:rPr>
            <a:t> Returning customers account for the majority of the revenue (nearly 59%) and maintain a noticeably higher average order value than new customers.</a:t>
          </a:r>
        </a:p>
        <a:p>
          <a:r>
            <a:rPr lang="en-PH" sz="1100" b="1" i="0" u="none" strike="noStrike">
              <a:solidFill>
                <a:schemeClr val="dk1"/>
              </a:solidFill>
              <a:effectLst/>
              <a:latin typeface="+mn-lt"/>
              <a:ea typeface="+mn-ea"/>
              <a:cs typeface="+mn-cs"/>
            </a:rPr>
            <a:t>Payment Preferences:</a:t>
          </a:r>
          <a:r>
            <a:rPr lang="en-PH" sz="1100" b="0" i="0" u="none" strike="noStrike">
              <a:solidFill>
                <a:schemeClr val="dk1"/>
              </a:solidFill>
              <a:effectLst/>
              <a:latin typeface="+mn-lt"/>
              <a:ea typeface="+mn-ea"/>
              <a:cs typeface="+mn-cs"/>
            </a:rPr>
            <a:t> Traditional Bank transfers and Cash on Delivery (COD) are the dominant payment methods, outperforming Cards and GCash in both transaction volume and total revenue.</a:t>
          </a:r>
        </a:p>
        <a:p>
          <a:r>
            <a:rPr lang="en-PH" sz="1100" b="1" i="0" u="none" strike="noStrike">
              <a:solidFill>
                <a:schemeClr val="dk1"/>
              </a:solidFill>
              <a:effectLst/>
              <a:latin typeface="+mn-lt"/>
              <a:ea typeface="+mn-ea"/>
              <a:cs typeface="+mn-cs"/>
            </a:rPr>
            <a:t>Discount Inefficiency:</a:t>
          </a:r>
          <a:r>
            <a:rPr lang="en-PH" sz="1100" b="0" i="0" u="none" strike="noStrike">
              <a:solidFill>
                <a:schemeClr val="dk1"/>
              </a:solidFill>
              <a:effectLst/>
              <a:latin typeface="+mn-lt"/>
              <a:ea typeface="+mn-ea"/>
              <a:cs typeface="+mn-cs"/>
            </a:rPr>
            <a:t> The highest revenue tier comes from transactions with no discount (0%), while the 5% tier drives the most order volume. Steeper discounts (10% and 15%) are not successfully incentivizing proportionally higher total sales.</a:t>
          </a:r>
        </a:p>
        <a:p>
          <a:r>
            <a:rPr lang="en-PH" sz="1100" b="1" i="0" u="none" strike="noStrike">
              <a:solidFill>
                <a:schemeClr val="dk1"/>
              </a:solidFill>
              <a:effectLst/>
              <a:latin typeface="+mn-lt"/>
              <a:ea typeface="+mn-ea"/>
              <a:cs typeface="+mn-cs"/>
            </a:rPr>
            <a:t>Product Dynamics:</a:t>
          </a:r>
          <a:r>
            <a:rPr lang="en-PH" sz="1100" b="0" i="0" u="none" strike="noStrike">
              <a:solidFill>
                <a:schemeClr val="dk1"/>
              </a:solidFill>
              <a:effectLst/>
              <a:latin typeface="+mn-lt"/>
              <a:ea typeface="+mn-ea"/>
              <a:cs typeface="+mn-cs"/>
            </a:rPr>
            <a:t> The "Software" category and individual "Webcams" are the top revenue drivers, but "SSDs" are moving the most physical inventory out of the store.</a:t>
          </a:r>
          <a:r>
            <a:rPr lang="en-PH"/>
            <a:t> </a:t>
          </a:r>
          <a:endParaRPr lang="en-PH"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Lient" refreshedDate="46282.827576851851" createdVersion="8" refreshedVersion="8" minRefreshableVersion="3" recordCount="50" xr:uid="{FCC3EC23-1CEE-4A03-B57A-C728F4374990}">
  <cacheSource type="worksheet">
    <worksheetSource ref="A1:K51" sheet="CASE 2"/>
  </cacheSource>
  <cacheFields count="11">
    <cacheField name="Order_ID" numFmtId="0">
      <sharedItems count="50">
        <s v="O2014"/>
        <s v="O2007"/>
        <s v="O2001"/>
        <s v="O2000"/>
        <s v="O2022"/>
        <s v="O2046"/>
        <s v="O2025"/>
        <s v="O2049"/>
        <s v="O2035"/>
        <s v="O2037"/>
        <s v="O2023"/>
        <s v="O2009"/>
        <s v="O2015"/>
        <s v="O2005"/>
        <s v="O2045"/>
        <s v="O2004"/>
        <s v="O2024"/>
        <s v="O2039"/>
        <s v="O2028"/>
        <s v="O2041"/>
        <s v="O2012"/>
        <s v="O2011"/>
        <s v="O2043"/>
        <s v="O2016"/>
        <s v="O2036"/>
        <s v="O2008"/>
        <s v="O2017"/>
        <s v="O2010"/>
        <s v="O2002"/>
        <s v="O2048"/>
        <s v="O2013"/>
        <s v="O2033"/>
        <s v="O2047"/>
        <s v="O2029"/>
        <s v="O2020"/>
        <s v="O2031"/>
        <s v="O2019"/>
        <s v="O2040"/>
        <s v="O2042"/>
        <s v="O2027"/>
        <s v="O2021"/>
        <s v="O2006"/>
        <s v="O2038"/>
        <s v="O2018"/>
        <s v="O2030"/>
        <s v="O2026"/>
        <s v="O2034"/>
        <s v="O2044"/>
        <s v="O2003"/>
        <s v="O2032"/>
      </sharedItems>
    </cacheField>
    <cacheField name="Order_Day" numFmtId="0">
      <sharedItems containsSemiMixedTypes="0" containsString="0" containsNumber="1" containsInteger="1" minValue="1" maxValue="50"/>
    </cacheField>
    <cacheField name="Category" numFmtId="0">
      <sharedItems count="4">
        <s v="Electronics"/>
        <s v="Software"/>
        <s v="Accessories"/>
        <s v="Gadgets"/>
      </sharedItems>
    </cacheField>
    <cacheField name="Product" numFmtId="0">
      <sharedItems/>
    </cacheField>
    <cacheField name="Customer_Type" numFmtId="0">
      <sharedItems/>
    </cacheField>
    <cacheField name="Payment_Method" numFmtId="0">
      <sharedItems/>
    </cacheField>
    <cacheField name="Units" numFmtId="0">
      <sharedItems containsSemiMixedTypes="0" containsString="0" containsNumber="1" containsInteger="1" minValue="1" maxValue="4"/>
    </cacheField>
    <cacheField name="Unit_Price" numFmtId="0">
      <sharedItems containsSemiMixedTypes="0" containsString="0" containsNumber="1" containsInteger="1" minValue="250" maxValue="1800"/>
    </cacheField>
    <cacheField name="Discount_Pct" numFmtId="0">
      <sharedItems containsSemiMixedTypes="0" containsString="0" containsNumber="1" containsInteger="1" minValue="0" maxValue="15"/>
    </cacheField>
    <cacheField name="Shipping_Fee" numFmtId="0">
      <sharedItems containsSemiMixedTypes="0" containsString="0" containsNumber="1" containsInteger="1" minValue="0" maxValue="100"/>
    </cacheField>
    <cacheField name="Total_Sales" numFmtId="0">
      <sharedItems containsSemiMixedTypes="0" containsString="0" containsNumber="1" minValue="287.5" maxValue="725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x v="0"/>
    <n v="15"/>
    <x v="0"/>
    <s v="SSD"/>
    <s v="New"/>
    <s v="Bank"/>
    <n v="3"/>
    <n v="650"/>
    <n v="0"/>
    <n v="80"/>
    <n v="2030"/>
  </r>
  <r>
    <x v="1"/>
    <n v="8"/>
    <x v="1"/>
    <s v="USB Drive"/>
    <s v="New"/>
    <s v="Bank"/>
    <n v="3"/>
    <n v="250"/>
    <n v="0"/>
    <n v="0"/>
    <n v="750"/>
  </r>
  <r>
    <x v="2"/>
    <n v="2"/>
    <x v="2"/>
    <s v="Headset"/>
    <s v="Returning"/>
    <s v="Bank"/>
    <n v="4"/>
    <n v="1200"/>
    <n v="0"/>
    <n v="50"/>
    <n v="4850"/>
  </r>
  <r>
    <x v="3"/>
    <n v="1"/>
    <x v="1"/>
    <s v="SSD"/>
    <s v="Returning"/>
    <s v="Bank"/>
    <n v="1"/>
    <n v="650"/>
    <n v="0"/>
    <n v="50"/>
    <n v="700"/>
  </r>
  <r>
    <x v="4"/>
    <n v="23"/>
    <x v="1"/>
    <s v="Webcam"/>
    <s v="Returning"/>
    <s v="Bank"/>
    <n v="3"/>
    <n v="1800"/>
    <n v="0"/>
    <n v="0"/>
    <n v="5400"/>
  </r>
  <r>
    <x v="5"/>
    <n v="47"/>
    <x v="3"/>
    <s v="SSD"/>
    <s v="New"/>
    <s v="Card"/>
    <n v="3"/>
    <n v="250"/>
    <n v="0"/>
    <n v="50"/>
    <n v="800"/>
  </r>
  <r>
    <x v="6"/>
    <n v="26"/>
    <x v="1"/>
    <s v="SSD"/>
    <s v="New"/>
    <s v="Card"/>
    <n v="1"/>
    <n v="650"/>
    <n v="0"/>
    <n v="80"/>
    <n v="730"/>
  </r>
  <r>
    <x v="7"/>
    <n v="50"/>
    <x v="1"/>
    <s v="SSD"/>
    <s v="New"/>
    <s v="COD"/>
    <n v="1"/>
    <n v="900"/>
    <n v="0"/>
    <n v="100"/>
    <n v="1000"/>
  </r>
  <r>
    <x v="8"/>
    <n v="36"/>
    <x v="2"/>
    <s v="USB Drive"/>
    <s v="Returning"/>
    <s v="COD"/>
    <n v="4"/>
    <n v="450"/>
    <n v="0"/>
    <n v="80"/>
    <n v="1880"/>
  </r>
  <r>
    <x v="9"/>
    <n v="38"/>
    <x v="1"/>
    <s v="Webcam"/>
    <s v="Returning"/>
    <s v="COD"/>
    <n v="4"/>
    <n v="900"/>
    <n v="0"/>
    <n v="50"/>
    <n v="3650"/>
  </r>
  <r>
    <x v="10"/>
    <n v="24"/>
    <x v="2"/>
    <s v="Mouse"/>
    <s v="New"/>
    <s v="GCash"/>
    <n v="4"/>
    <n v="1800"/>
    <n v="0"/>
    <n v="50"/>
    <n v="7250"/>
  </r>
  <r>
    <x v="11"/>
    <n v="10"/>
    <x v="2"/>
    <s v="SSD"/>
    <s v="Returning"/>
    <s v="GCash"/>
    <n v="1"/>
    <n v="250"/>
    <n v="0"/>
    <n v="80"/>
    <n v="330"/>
  </r>
  <r>
    <x v="12"/>
    <n v="16"/>
    <x v="1"/>
    <s v="Webcam"/>
    <s v="Returning"/>
    <s v="GCash"/>
    <n v="1"/>
    <n v="250"/>
    <n v="0"/>
    <n v="50"/>
    <n v="300"/>
  </r>
  <r>
    <x v="13"/>
    <n v="6"/>
    <x v="2"/>
    <s v="Keyboard"/>
    <s v="New"/>
    <s v="Bank"/>
    <n v="1"/>
    <n v="1200"/>
    <n v="5"/>
    <n v="50"/>
    <n v="1190"/>
  </r>
  <r>
    <x v="14"/>
    <n v="46"/>
    <x v="3"/>
    <s v="Keyboard"/>
    <s v="New"/>
    <s v="Bank"/>
    <n v="2"/>
    <n v="450"/>
    <n v="5"/>
    <n v="50"/>
    <n v="905"/>
  </r>
  <r>
    <x v="15"/>
    <n v="5"/>
    <x v="0"/>
    <s v="USB Drive"/>
    <s v="New"/>
    <s v="Bank"/>
    <n v="2"/>
    <n v="900"/>
    <n v="5"/>
    <n v="100"/>
    <n v="1810"/>
  </r>
  <r>
    <x v="16"/>
    <n v="25"/>
    <x v="1"/>
    <s v="USB Drive"/>
    <s v="New"/>
    <s v="Bank"/>
    <n v="4"/>
    <n v="450"/>
    <n v="5"/>
    <n v="50"/>
    <n v="1760"/>
  </r>
  <r>
    <x v="17"/>
    <n v="40"/>
    <x v="1"/>
    <s v="Webcam"/>
    <s v="New"/>
    <s v="Bank"/>
    <n v="1"/>
    <n v="250"/>
    <n v="5"/>
    <n v="80"/>
    <n v="317.5"/>
  </r>
  <r>
    <x v="18"/>
    <n v="29"/>
    <x v="3"/>
    <s v="Keyboard"/>
    <s v="Returning"/>
    <s v="Bank"/>
    <n v="1"/>
    <n v="450"/>
    <n v="5"/>
    <n v="100"/>
    <n v="527.5"/>
  </r>
  <r>
    <x v="19"/>
    <n v="42"/>
    <x v="3"/>
    <s v="SSD"/>
    <s v="Returning"/>
    <s v="Bank"/>
    <n v="4"/>
    <n v="650"/>
    <n v="5"/>
    <n v="0"/>
    <n v="2470"/>
  </r>
  <r>
    <x v="20"/>
    <n v="13"/>
    <x v="1"/>
    <s v="SSD"/>
    <s v="Returning"/>
    <s v="Bank"/>
    <n v="3"/>
    <n v="1200"/>
    <n v="5"/>
    <n v="80"/>
    <n v="3500"/>
  </r>
  <r>
    <x v="21"/>
    <n v="12"/>
    <x v="2"/>
    <s v="SSD"/>
    <s v="New"/>
    <s v="Card"/>
    <n v="1"/>
    <n v="650"/>
    <n v="5"/>
    <n v="80"/>
    <n v="697.5"/>
  </r>
  <r>
    <x v="22"/>
    <n v="44"/>
    <x v="2"/>
    <s v="USB Drive"/>
    <s v="New"/>
    <s v="Card"/>
    <n v="1"/>
    <n v="900"/>
    <n v="5"/>
    <n v="80"/>
    <n v="935"/>
  </r>
  <r>
    <x v="23"/>
    <n v="17"/>
    <x v="3"/>
    <s v="USB Drive"/>
    <s v="Returning"/>
    <s v="Card"/>
    <n v="4"/>
    <n v="250"/>
    <n v="5"/>
    <n v="100"/>
    <n v="1050"/>
  </r>
  <r>
    <x v="24"/>
    <n v="37"/>
    <x v="0"/>
    <s v="Keyboard"/>
    <s v="New"/>
    <s v="COD"/>
    <n v="1"/>
    <n v="1800"/>
    <n v="5"/>
    <n v="0"/>
    <n v="1710"/>
  </r>
  <r>
    <x v="25"/>
    <n v="9"/>
    <x v="1"/>
    <s v="SSD"/>
    <s v="New"/>
    <s v="COD"/>
    <n v="4"/>
    <n v="650"/>
    <n v="5"/>
    <n v="80"/>
    <n v="2550"/>
  </r>
  <r>
    <x v="26"/>
    <n v="18"/>
    <x v="2"/>
    <s v="Mouse"/>
    <s v="Returning"/>
    <s v="COD"/>
    <n v="1"/>
    <n v="250"/>
    <n v="5"/>
    <n v="50"/>
    <n v="287.5"/>
  </r>
  <r>
    <x v="27"/>
    <n v="11"/>
    <x v="3"/>
    <s v="USB Drive"/>
    <s v="Returning"/>
    <s v="COD"/>
    <n v="1"/>
    <n v="650"/>
    <n v="5"/>
    <n v="100"/>
    <n v="717.5"/>
  </r>
  <r>
    <x v="28"/>
    <n v="3"/>
    <x v="3"/>
    <s v="Webcam"/>
    <s v="Returning"/>
    <s v="COD"/>
    <n v="3"/>
    <n v="900"/>
    <n v="5"/>
    <n v="100"/>
    <n v="2665"/>
  </r>
  <r>
    <x v="29"/>
    <n v="49"/>
    <x v="2"/>
    <s v="Headset"/>
    <s v="New"/>
    <s v="GCash"/>
    <n v="2"/>
    <n v="1200"/>
    <n v="5"/>
    <n v="50"/>
    <n v="2330"/>
  </r>
  <r>
    <x v="30"/>
    <n v="14"/>
    <x v="0"/>
    <s v="Mouse"/>
    <s v="New"/>
    <s v="GCash"/>
    <n v="2"/>
    <n v="250"/>
    <n v="5"/>
    <n v="100"/>
    <n v="575"/>
  </r>
  <r>
    <x v="31"/>
    <n v="34"/>
    <x v="3"/>
    <s v="Mouse"/>
    <s v="New"/>
    <s v="GCash"/>
    <n v="1"/>
    <n v="450"/>
    <n v="5"/>
    <n v="80"/>
    <n v="507.5"/>
  </r>
  <r>
    <x v="32"/>
    <n v="48"/>
    <x v="2"/>
    <s v="Keyboard"/>
    <s v="Returning"/>
    <s v="GCash"/>
    <n v="1"/>
    <n v="650"/>
    <n v="5"/>
    <n v="50"/>
    <n v="667.5"/>
  </r>
  <r>
    <x v="33"/>
    <n v="30"/>
    <x v="1"/>
    <s v="Headset"/>
    <s v="Returning"/>
    <s v="Bank"/>
    <n v="2"/>
    <n v="900"/>
    <n v="10"/>
    <n v="50"/>
    <n v="1670"/>
  </r>
  <r>
    <x v="34"/>
    <n v="21"/>
    <x v="0"/>
    <s v="SSD"/>
    <s v="Returning"/>
    <s v="Bank"/>
    <n v="4"/>
    <n v="250"/>
    <n v="10"/>
    <n v="80"/>
    <n v="980"/>
  </r>
  <r>
    <x v="35"/>
    <n v="32"/>
    <x v="1"/>
    <s v="Webcam"/>
    <s v="Returning"/>
    <s v="Card"/>
    <n v="4"/>
    <n v="250"/>
    <n v="10"/>
    <n v="100"/>
    <n v="1000"/>
  </r>
  <r>
    <x v="36"/>
    <n v="20"/>
    <x v="3"/>
    <s v="Keyboard"/>
    <s v="New"/>
    <s v="COD"/>
    <n v="1"/>
    <n v="650"/>
    <n v="10"/>
    <n v="0"/>
    <n v="585"/>
  </r>
  <r>
    <x v="37"/>
    <n v="41"/>
    <x v="1"/>
    <s v="Headset"/>
    <s v="Returning"/>
    <s v="COD"/>
    <n v="3"/>
    <n v="650"/>
    <n v="10"/>
    <n v="100"/>
    <n v="1855"/>
  </r>
  <r>
    <x v="38"/>
    <n v="43"/>
    <x v="2"/>
    <s v="Webcam"/>
    <s v="New"/>
    <s v="GCash"/>
    <n v="4"/>
    <n v="650"/>
    <n v="10"/>
    <n v="0"/>
    <n v="2340"/>
  </r>
  <r>
    <x v="39"/>
    <n v="28"/>
    <x v="1"/>
    <s v="Headset"/>
    <s v="Returning"/>
    <s v="GCash"/>
    <n v="3"/>
    <n v="650"/>
    <n v="10"/>
    <n v="100"/>
    <n v="1855"/>
  </r>
  <r>
    <x v="40"/>
    <n v="22"/>
    <x v="3"/>
    <s v="USB Drive"/>
    <s v="Returning"/>
    <s v="Bank"/>
    <n v="4"/>
    <n v="450"/>
    <n v="15"/>
    <n v="0"/>
    <n v="1530"/>
  </r>
  <r>
    <x v="41"/>
    <n v="7"/>
    <x v="3"/>
    <s v="Webcam"/>
    <s v="Returning"/>
    <s v="Bank"/>
    <n v="2"/>
    <n v="1200"/>
    <n v="15"/>
    <n v="0"/>
    <n v="2040"/>
  </r>
  <r>
    <x v="42"/>
    <n v="39"/>
    <x v="1"/>
    <s v="Keyboard"/>
    <s v="Returning"/>
    <s v="Card"/>
    <n v="4"/>
    <n v="1200"/>
    <n v="15"/>
    <n v="0"/>
    <n v="4080"/>
  </r>
  <r>
    <x v="43"/>
    <n v="19"/>
    <x v="0"/>
    <s v="USB Drive"/>
    <s v="Returning"/>
    <s v="Card"/>
    <n v="1"/>
    <n v="650"/>
    <n v="15"/>
    <n v="80"/>
    <n v="632.5"/>
  </r>
  <r>
    <x v="44"/>
    <n v="31"/>
    <x v="0"/>
    <s v="SSD"/>
    <s v="New"/>
    <s v="COD"/>
    <n v="4"/>
    <n v="450"/>
    <n v="15"/>
    <n v="80"/>
    <n v="1610"/>
  </r>
  <r>
    <x v="45"/>
    <n v="27"/>
    <x v="1"/>
    <s v="Webcam"/>
    <s v="New"/>
    <s v="COD"/>
    <n v="3"/>
    <n v="650"/>
    <n v="15"/>
    <n v="80"/>
    <n v="1737.5"/>
  </r>
  <r>
    <x v="46"/>
    <n v="35"/>
    <x v="1"/>
    <s v="USB Drive"/>
    <s v="Returning"/>
    <s v="COD"/>
    <n v="4"/>
    <n v="650"/>
    <n v="15"/>
    <n v="100"/>
    <n v="2310"/>
  </r>
  <r>
    <x v="47"/>
    <n v="45"/>
    <x v="1"/>
    <s v="USB Drive"/>
    <s v="Returning"/>
    <s v="COD"/>
    <n v="1"/>
    <n v="900"/>
    <n v="15"/>
    <n v="50"/>
    <n v="815"/>
  </r>
  <r>
    <x v="48"/>
    <n v="4"/>
    <x v="1"/>
    <s v="Webcam"/>
    <s v="New"/>
    <s v="GCash"/>
    <n v="3"/>
    <n v="650"/>
    <n v="15"/>
    <n v="0"/>
    <n v="1657.5"/>
  </r>
  <r>
    <x v="49"/>
    <n v="33"/>
    <x v="3"/>
    <s v="SSD"/>
    <s v="Returning"/>
    <s v="GCash"/>
    <n v="3"/>
    <n v="1200"/>
    <n v="15"/>
    <n v="80"/>
    <n v="314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8BC248F-135D-4A4F-8CE6-8B2A1EB62763}" name="PivotTable2"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Transaction">
  <location ref="A110:B116" firstHeaderRow="1" firstDataRow="1" firstDataCol="1"/>
  <pivotFields count="11">
    <pivotField axis="axisRow" showAll="0" measureFilter="1" sortType="descending">
      <items count="51">
        <item x="3"/>
        <item x="2"/>
        <item x="28"/>
        <item x="48"/>
        <item x="15"/>
        <item x="13"/>
        <item x="41"/>
        <item x="1"/>
        <item x="25"/>
        <item x="11"/>
        <item x="27"/>
        <item x="21"/>
        <item x="20"/>
        <item x="30"/>
        <item x="0"/>
        <item x="12"/>
        <item x="23"/>
        <item x="26"/>
        <item x="43"/>
        <item x="36"/>
        <item x="34"/>
        <item x="40"/>
        <item x="4"/>
        <item x="10"/>
        <item x="16"/>
        <item x="6"/>
        <item x="45"/>
        <item x="39"/>
        <item x="18"/>
        <item x="33"/>
        <item x="44"/>
        <item x="35"/>
        <item x="49"/>
        <item x="31"/>
        <item x="46"/>
        <item x="8"/>
        <item x="24"/>
        <item x="9"/>
        <item x="42"/>
        <item x="17"/>
        <item x="37"/>
        <item x="19"/>
        <item x="38"/>
        <item x="22"/>
        <item x="47"/>
        <item x="14"/>
        <item x="5"/>
        <item x="32"/>
        <item x="29"/>
        <item x="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dataField="1" showAll="0"/>
  </pivotFields>
  <rowFields count="1">
    <field x="0"/>
  </rowFields>
  <rowItems count="6">
    <i>
      <x v="23"/>
    </i>
    <i>
      <x v="22"/>
    </i>
    <i>
      <x v="1"/>
    </i>
    <i>
      <x v="38"/>
    </i>
    <i>
      <x v="37"/>
    </i>
    <i t="grand">
      <x/>
    </i>
  </rowItems>
  <colItems count="1">
    <i/>
  </colItems>
  <dataFields count="1">
    <dataField name="Sales" fld="10" baseField="0" baseItem="0"/>
  </dataFields>
  <formats count="6">
    <format dxfId="18">
      <pivotArea type="all" dataOnly="0" outline="0" fieldPosition="0"/>
    </format>
    <format dxfId="17">
      <pivotArea outline="0" collapsedLevelsAreSubtotals="1" fieldPosition="0"/>
    </format>
    <format dxfId="16">
      <pivotArea field="0" type="button" dataOnly="0" labelOnly="1" outline="0" axis="axisRow" fieldPosition="0"/>
    </format>
    <format dxfId="15">
      <pivotArea dataOnly="0" labelOnly="1" fieldPosition="0">
        <references count="1">
          <reference field="0" count="5">
            <x v="1"/>
            <x v="22"/>
            <x v="23"/>
            <x v="37"/>
            <x v="38"/>
          </reference>
        </references>
      </pivotArea>
    </format>
    <format dxfId="14">
      <pivotArea dataOnly="0" labelOnly="1" grandRow="1" outline="0" fieldPosition="0"/>
    </format>
    <format dxfId="13">
      <pivotArea dataOnly="0" labelOnly="1" outline="0" axis="axisValues" fieldPosition="0"/>
    </format>
  </formats>
  <pivotTableStyleInfo name="PivotStyleLight16" showRowHeaders="1" showColHeaders="1" showRowStripes="0" showColStripes="0" showLastColumn="1"/>
  <filters count="1">
    <filter fld="0"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66C9FB8-0710-4406-878D-4ECBE41508E2}"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ategory">
  <location ref="A102:D107" firstHeaderRow="0" firstDataRow="1" firstDataCol="1"/>
  <pivotFields count="11">
    <pivotField dataField="1" showAll="0">
      <items count="51">
        <item x="3"/>
        <item x="2"/>
        <item x="28"/>
        <item x="48"/>
        <item x="15"/>
        <item x="13"/>
        <item x="41"/>
        <item x="1"/>
        <item x="25"/>
        <item x="11"/>
        <item x="27"/>
        <item x="21"/>
        <item x="20"/>
        <item x="30"/>
        <item x="0"/>
        <item x="12"/>
        <item x="23"/>
        <item x="26"/>
        <item x="43"/>
        <item x="36"/>
        <item x="34"/>
        <item x="40"/>
        <item x="4"/>
        <item x="10"/>
        <item x="16"/>
        <item x="6"/>
        <item x="45"/>
        <item x="39"/>
        <item x="18"/>
        <item x="33"/>
        <item x="44"/>
        <item x="35"/>
        <item x="49"/>
        <item x="31"/>
        <item x="46"/>
        <item x="8"/>
        <item x="24"/>
        <item x="9"/>
        <item x="42"/>
        <item x="17"/>
        <item x="37"/>
        <item x="19"/>
        <item x="38"/>
        <item x="22"/>
        <item x="47"/>
        <item x="14"/>
        <item x="5"/>
        <item x="32"/>
        <item x="29"/>
        <item x="7"/>
        <item t="default"/>
      </items>
    </pivotField>
    <pivotField showAll="0"/>
    <pivotField axis="axisRow" showAll="0">
      <items count="5">
        <item x="2"/>
        <item x="0"/>
        <item x="3"/>
        <item x="1"/>
        <item t="default"/>
      </items>
    </pivotField>
    <pivotField showAll="0"/>
    <pivotField showAll="0"/>
    <pivotField showAll="0"/>
    <pivotField dataField="1" showAll="0"/>
    <pivotField showAll="0"/>
    <pivotField showAll="0"/>
    <pivotField showAll="0"/>
    <pivotField dataField="1" showAll="0"/>
  </pivotFields>
  <rowFields count="1">
    <field x="2"/>
  </rowFields>
  <rowItems count="5">
    <i>
      <x/>
    </i>
    <i>
      <x v="1"/>
    </i>
    <i>
      <x v="2"/>
    </i>
    <i>
      <x v="3"/>
    </i>
    <i t="grand">
      <x/>
    </i>
  </rowItems>
  <colFields count="1">
    <field x="-2"/>
  </colFields>
  <colItems count="3">
    <i>
      <x/>
    </i>
    <i i="1">
      <x v="1"/>
    </i>
    <i i="2">
      <x v="2"/>
    </i>
  </colItems>
  <dataFields count="3">
    <dataField name="Orders" fld="0" subtotal="count" baseField="0" baseItem="0"/>
    <dataField name="Unit Sold" fld="6" baseField="0" baseItem="0"/>
    <dataField name="Total Sales" fld="10" baseField="0" baseItem="0"/>
  </dataFields>
  <formats count="6">
    <format dxfId="24">
      <pivotArea type="all" dataOnly="0" outline="0" fieldPosition="0"/>
    </format>
    <format dxfId="23">
      <pivotArea outline="0" collapsedLevelsAreSubtotals="1" fieldPosition="0"/>
    </format>
    <format dxfId="22">
      <pivotArea field="2" type="button" dataOnly="0" labelOnly="1" outline="0" axis="axisRow" fieldPosition="0"/>
    </format>
    <format dxfId="21">
      <pivotArea dataOnly="0" labelOnly="1" fieldPosition="0">
        <references count="1">
          <reference field="2" count="0"/>
        </references>
      </pivotArea>
    </format>
    <format dxfId="20">
      <pivotArea dataOnly="0" labelOnly="1" grandRow="1" outline="0" fieldPosition="0"/>
    </format>
    <format dxfId="19">
      <pivotArea dataOnly="0" labelOnly="1" outline="0" fieldPosition="0">
        <references count="1">
          <reference field="4294967294" count="3">
            <x v="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0DBE41-867F-4557-B7AC-882D0B3FBBFC}">
  <dimension ref="A1:K51"/>
  <sheetViews>
    <sheetView workbookViewId="0">
      <selection activeCell="D16" sqref="A1:K51"/>
    </sheetView>
  </sheetViews>
  <sheetFormatPr defaultRowHeight="15" x14ac:dyDescent="0.25"/>
  <cols>
    <col min="1" max="2" width="12" customWidth="1"/>
    <col min="3" max="3" width="13" customWidth="1"/>
    <col min="4" max="4" width="12" customWidth="1"/>
    <col min="5" max="5" width="15" customWidth="1"/>
    <col min="6" max="6" width="16" customWidth="1"/>
    <col min="7" max="8" width="12" customWidth="1"/>
    <col min="9" max="10" width="14" customWidth="1"/>
    <col min="11" max="11" width="13" customWidth="1"/>
  </cols>
  <sheetData>
    <row r="1" spans="1:11" x14ac:dyDescent="0.25">
      <c r="A1" s="1" t="s">
        <v>0</v>
      </c>
      <c r="B1" s="1" t="s">
        <v>1</v>
      </c>
      <c r="C1" s="1" t="s">
        <v>2</v>
      </c>
      <c r="D1" s="1" t="s">
        <v>3</v>
      </c>
      <c r="E1" s="1" t="s">
        <v>4</v>
      </c>
      <c r="F1" s="1" t="s">
        <v>5</v>
      </c>
      <c r="G1" s="1" t="s">
        <v>6</v>
      </c>
      <c r="H1" s="1" t="s">
        <v>7</v>
      </c>
      <c r="I1" s="1" t="s">
        <v>8</v>
      </c>
      <c r="J1" s="1" t="s">
        <v>9</v>
      </c>
      <c r="K1" s="1" t="s">
        <v>10</v>
      </c>
    </row>
    <row r="2" spans="1:11" x14ac:dyDescent="0.25">
      <c r="A2" t="s">
        <v>41</v>
      </c>
      <c r="B2">
        <v>15</v>
      </c>
      <c r="C2" t="s">
        <v>27</v>
      </c>
      <c r="D2" t="s">
        <v>13</v>
      </c>
      <c r="E2" t="s">
        <v>24</v>
      </c>
      <c r="F2" t="s">
        <v>15</v>
      </c>
      <c r="G2">
        <v>3</v>
      </c>
      <c r="H2">
        <v>650</v>
      </c>
      <c r="I2">
        <v>0</v>
      </c>
      <c r="J2">
        <v>80</v>
      </c>
      <c r="K2">
        <v>2030</v>
      </c>
    </row>
    <row r="3" spans="1:11" x14ac:dyDescent="0.25">
      <c r="A3" t="s">
        <v>32</v>
      </c>
      <c r="B3">
        <v>8</v>
      </c>
      <c r="C3" t="s">
        <v>12</v>
      </c>
      <c r="D3" t="s">
        <v>28</v>
      </c>
      <c r="E3" t="s">
        <v>24</v>
      </c>
      <c r="F3" t="s">
        <v>15</v>
      </c>
      <c r="G3">
        <v>3</v>
      </c>
      <c r="H3">
        <v>250</v>
      </c>
      <c r="I3">
        <v>0</v>
      </c>
      <c r="J3">
        <v>0</v>
      </c>
      <c r="K3">
        <v>750</v>
      </c>
    </row>
    <row r="4" spans="1:11" x14ac:dyDescent="0.25">
      <c r="A4" t="s">
        <v>16</v>
      </c>
      <c r="B4">
        <v>2</v>
      </c>
      <c r="C4" t="s">
        <v>17</v>
      </c>
      <c r="D4" t="s">
        <v>18</v>
      </c>
      <c r="E4" t="s">
        <v>14</v>
      </c>
      <c r="F4" t="s">
        <v>15</v>
      </c>
      <c r="G4">
        <v>4</v>
      </c>
      <c r="H4">
        <v>1200</v>
      </c>
      <c r="I4">
        <v>0</v>
      </c>
      <c r="J4">
        <v>50</v>
      </c>
      <c r="K4">
        <v>4850</v>
      </c>
    </row>
    <row r="5" spans="1:11" x14ac:dyDescent="0.25">
      <c r="A5" t="s">
        <v>11</v>
      </c>
      <c r="B5">
        <v>1</v>
      </c>
      <c r="C5" t="s">
        <v>12</v>
      </c>
      <c r="D5" t="s">
        <v>13</v>
      </c>
      <c r="E5" t="s">
        <v>14</v>
      </c>
      <c r="F5" t="s">
        <v>15</v>
      </c>
      <c r="G5">
        <v>1</v>
      </c>
      <c r="H5">
        <v>650</v>
      </c>
      <c r="I5">
        <v>0</v>
      </c>
      <c r="J5">
        <v>50</v>
      </c>
      <c r="K5">
        <v>700</v>
      </c>
    </row>
    <row r="6" spans="1:11" x14ac:dyDescent="0.25">
      <c r="A6" t="s">
        <v>49</v>
      </c>
      <c r="B6">
        <v>23</v>
      </c>
      <c r="C6" t="s">
        <v>12</v>
      </c>
      <c r="D6" t="s">
        <v>21</v>
      </c>
      <c r="E6" t="s">
        <v>14</v>
      </c>
      <c r="F6" t="s">
        <v>15</v>
      </c>
      <c r="G6">
        <v>3</v>
      </c>
      <c r="H6">
        <v>1800</v>
      </c>
      <c r="I6">
        <v>0</v>
      </c>
      <c r="J6">
        <v>0</v>
      </c>
      <c r="K6">
        <v>5400</v>
      </c>
    </row>
    <row r="7" spans="1:11" x14ac:dyDescent="0.25">
      <c r="A7" t="s">
        <v>73</v>
      </c>
      <c r="B7">
        <v>47</v>
      </c>
      <c r="C7" t="s">
        <v>20</v>
      </c>
      <c r="D7" t="s">
        <v>13</v>
      </c>
      <c r="E7" t="s">
        <v>24</v>
      </c>
      <c r="F7" t="s">
        <v>37</v>
      </c>
      <c r="G7">
        <v>3</v>
      </c>
      <c r="H7">
        <v>250</v>
      </c>
      <c r="I7">
        <v>0</v>
      </c>
      <c r="J7">
        <v>50</v>
      </c>
      <c r="K7">
        <v>800</v>
      </c>
    </row>
    <row r="8" spans="1:11" x14ac:dyDescent="0.25">
      <c r="A8" t="s">
        <v>52</v>
      </c>
      <c r="B8">
        <v>26</v>
      </c>
      <c r="C8" t="s">
        <v>12</v>
      </c>
      <c r="D8" t="s">
        <v>13</v>
      </c>
      <c r="E8" t="s">
        <v>24</v>
      </c>
      <c r="F8" t="s">
        <v>37</v>
      </c>
      <c r="G8">
        <v>1</v>
      </c>
      <c r="H8">
        <v>650</v>
      </c>
      <c r="I8">
        <v>0</v>
      </c>
      <c r="J8">
        <v>80</v>
      </c>
      <c r="K8">
        <v>730</v>
      </c>
    </row>
    <row r="9" spans="1:11" x14ac:dyDescent="0.25">
      <c r="A9" t="s">
        <v>76</v>
      </c>
      <c r="B9">
        <v>50</v>
      </c>
      <c r="C9" t="s">
        <v>12</v>
      </c>
      <c r="D9" t="s">
        <v>13</v>
      </c>
      <c r="E9" t="s">
        <v>24</v>
      </c>
      <c r="F9" t="s">
        <v>22</v>
      </c>
      <c r="G9">
        <v>1</v>
      </c>
      <c r="H9">
        <v>900</v>
      </c>
      <c r="I9">
        <v>0</v>
      </c>
      <c r="J9">
        <v>100</v>
      </c>
      <c r="K9">
        <v>1000</v>
      </c>
    </row>
    <row r="10" spans="1:11" x14ac:dyDescent="0.25">
      <c r="A10" t="s">
        <v>62</v>
      </c>
      <c r="B10">
        <v>36</v>
      </c>
      <c r="C10" t="s">
        <v>17</v>
      </c>
      <c r="D10" t="s">
        <v>28</v>
      </c>
      <c r="E10" t="s">
        <v>14</v>
      </c>
      <c r="F10" t="s">
        <v>22</v>
      </c>
      <c r="G10">
        <v>4</v>
      </c>
      <c r="H10">
        <v>450</v>
      </c>
      <c r="I10">
        <v>0</v>
      </c>
      <c r="J10">
        <v>80</v>
      </c>
      <c r="K10">
        <v>1880</v>
      </c>
    </row>
    <row r="11" spans="1:11" x14ac:dyDescent="0.25">
      <c r="A11" t="s">
        <v>64</v>
      </c>
      <c r="B11">
        <v>38</v>
      </c>
      <c r="C11" t="s">
        <v>12</v>
      </c>
      <c r="D11" t="s">
        <v>21</v>
      </c>
      <c r="E11" t="s">
        <v>14</v>
      </c>
      <c r="F11" t="s">
        <v>22</v>
      </c>
      <c r="G11">
        <v>4</v>
      </c>
      <c r="H11">
        <v>900</v>
      </c>
      <c r="I11">
        <v>0</v>
      </c>
      <c r="J11">
        <v>50</v>
      </c>
      <c r="K11">
        <v>3650</v>
      </c>
    </row>
    <row r="12" spans="1:11" x14ac:dyDescent="0.25">
      <c r="A12" t="s">
        <v>50</v>
      </c>
      <c r="B12">
        <v>24</v>
      </c>
      <c r="C12" t="s">
        <v>17</v>
      </c>
      <c r="D12" t="s">
        <v>40</v>
      </c>
      <c r="E12" t="s">
        <v>24</v>
      </c>
      <c r="F12" t="s">
        <v>25</v>
      </c>
      <c r="G12">
        <v>4</v>
      </c>
      <c r="H12">
        <v>1800</v>
      </c>
      <c r="I12">
        <v>0</v>
      </c>
      <c r="J12">
        <v>50</v>
      </c>
      <c r="K12">
        <v>7250</v>
      </c>
    </row>
    <row r="13" spans="1:11" x14ac:dyDescent="0.25">
      <c r="A13" t="s">
        <v>34</v>
      </c>
      <c r="B13">
        <v>10</v>
      </c>
      <c r="C13" t="s">
        <v>17</v>
      </c>
      <c r="D13" t="s">
        <v>13</v>
      </c>
      <c r="E13" t="s">
        <v>14</v>
      </c>
      <c r="F13" t="s">
        <v>25</v>
      </c>
      <c r="G13">
        <v>1</v>
      </c>
      <c r="H13">
        <v>250</v>
      </c>
      <c r="I13">
        <v>0</v>
      </c>
      <c r="J13">
        <v>80</v>
      </c>
      <c r="K13">
        <v>330</v>
      </c>
    </row>
    <row r="14" spans="1:11" x14ac:dyDescent="0.25">
      <c r="A14" t="s">
        <v>42</v>
      </c>
      <c r="B14">
        <v>16</v>
      </c>
      <c r="C14" t="s">
        <v>12</v>
      </c>
      <c r="D14" t="s">
        <v>21</v>
      </c>
      <c r="E14" t="s">
        <v>14</v>
      </c>
      <c r="F14" t="s">
        <v>25</v>
      </c>
      <c r="G14">
        <v>1</v>
      </c>
      <c r="H14">
        <v>250</v>
      </c>
      <c r="I14">
        <v>0</v>
      </c>
      <c r="J14">
        <v>50</v>
      </c>
      <c r="K14">
        <v>300</v>
      </c>
    </row>
    <row r="15" spans="1:11" x14ac:dyDescent="0.25">
      <c r="A15" t="s">
        <v>29</v>
      </c>
      <c r="B15">
        <v>6</v>
      </c>
      <c r="C15" t="s">
        <v>17</v>
      </c>
      <c r="D15" t="s">
        <v>30</v>
      </c>
      <c r="E15" t="s">
        <v>24</v>
      </c>
      <c r="F15" t="s">
        <v>15</v>
      </c>
      <c r="G15">
        <v>1</v>
      </c>
      <c r="H15">
        <v>1200</v>
      </c>
      <c r="I15">
        <v>5</v>
      </c>
      <c r="J15">
        <v>50</v>
      </c>
      <c r="K15">
        <v>1190</v>
      </c>
    </row>
    <row r="16" spans="1:11" x14ac:dyDescent="0.25">
      <c r="A16" t="s">
        <v>72</v>
      </c>
      <c r="B16">
        <v>46</v>
      </c>
      <c r="C16" t="s">
        <v>20</v>
      </c>
      <c r="D16" t="s">
        <v>30</v>
      </c>
      <c r="E16" t="s">
        <v>24</v>
      </c>
      <c r="F16" t="s">
        <v>15</v>
      </c>
      <c r="G16">
        <v>2</v>
      </c>
      <c r="H16">
        <v>450</v>
      </c>
      <c r="I16">
        <v>5</v>
      </c>
      <c r="J16">
        <v>50</v>
      </c>
      <c r="K16">
        <v>905</v>
      </c>
    </row>
    <row r="17" spans="1:11" x14ac:dyDescent="0.25">
      <c r="A17" t="s">
        <v>26</v>
      </c>
      <c r="B17">
        <v>5</v>
      </c>
      <c r="C17" t="s">
        <v>27</v>
      </c>
      <c r="D17" t="s">
        <v>28</v>
      </c>
      <c r="E17" t="s">
        <v>24</v>
      </c>
      <c r="F17" t="s">
        <v>15</v>
      </c>
      <c r="G17">
        <v>2</v>
      </c>
      <c r="H17">
        <v>900</v>
      </c>
      <c r="I17">
        <v>5</v>
      </c>
      <c r="J17">
        <v>100</v>
      </c>
      <c r="K17">
        <v>1810</v>
      </c>
    </row>
    <row r="18" spans="1:11" x14ac:dyDescent="0.25">
      <c r="A18" t="s">
        <v>51</v>
      </c>
      <c r="B18">
        <v>25</v>
      </c>
      <c r="C18" t="s">
        <v>12</v>
      </c>
      <c r="D18" t="s">
        <v>28</v>
      </c>
      <c r="E18" t="s">
        <v>24</v>
      </c>
      <c r="F18" t="s">
        <v>15</v>
      </c>
      <c r="G18">
        <v>4</v>
      </c>
      <c r="H18">
        <v>450</v>
      </c>
      <c r="I18">
        <v>5</v>
      </c>
      <c r="J18">
        <v>50</v>
      </c>
      <c r="K18">
        <v>1760</v>
      </c>
    </row>
    <row r="19" spans="1:11" x14ac:dyDescent="0.25">
      <c r="A19" t="s">
        <v>66</v>
      </c>
      <c r="B19">
        <v>40</v>
      </c>
      <c r="C19" t="s">
        <v>12</v>
      </c>
      <c r="D19" t="s">
        <v>21</v>
      </c>
      <c r="E19" t="s">
        <v>24</v>
      </c>
      <c r="F19" t="s">
        <v>15</v>
      </c>
      <c r="G19">
        <v>1</v>
      </c>
      <c r="H19">
        <v>250</v>
      </c>
      <c r="I19">
        <v>5</v>
      </c>
      <c r="J19">
        <v>80</v>
      </c>
      <c r="K19">
        <v>317.5</v>
      </c>
    </row>
    <row r="20" spans="1:11" x14ac:dyDescent="0.25">
      <c r="A20" t="s">
        <v>55</v>
      </c>
      <c r="B20">
        <v>29</v>
      </c>
      <c r="C20" t="s">
        <v>20</v>
      </c>
      <c r="D20" t="s">
        <v>30</v>
      </c>
      <c r="E20" t="s">
        <v>14</v>
      </c>
      <c r="F20" t="s">
        <v>15</v>
      </c>
      <c r="G20">
        <v>1</v>
      </c>
      <c r="H20">
        <v>450</v>
      </c>
      <c r="I20">
        <v>5</v>
      </c>
      <c r="J20">
        <v>100</v>
      </c>
      <c r="K20">
        <v>527.5</v>
      </c>
    </row>
    <row r="21" spans="1:11" x14ac:dyDescent="0.25">
      <c r="A21" t="s">
        <v>68</v>
      </c>
      <c r="B21">
        <v>42</v>
      </c>
      <c r="C21" t="s">
        <v>20</v>
      </c>
      <c r="D21" t="s">
        <v>13</v>
      </c>
      <c r="E21" t="s">
        <v>14</v>
      </c>
      <c r="F21" t="s">
        <v>15</v>
      </c>
      <c r="G21">
        <v>4</v>
      </c>
      <c r="H21">
        <v>650</v>
      </c>
      <c r="I21">
        <v>5</v>
      </c>
      <c r="J21">
        <v>0</v>
      </c>
      <c r="K21">
        <v>2470</v>
      </c>
    </row>
    <row r="22" spans="1:11" x14ac:dyDescent="0.25">
      <c r="A22" t="s">
        <v>38</v>
      </c>
      <c r="B22">
        <v>13</v>
      </c>
      <c r="C22" t="s">
        <v>12</v>
      </c>
      <c r="D22" t="s">
        <v>13</v>
      </c>
      <c r="E22" t="s">
        <v>14</v>
      </c>
      <c r="F22" t="s">
        <v>15</v>
      </c>
      <c r="G22">
        <v>3</v>
      </c>
      <c r="H22">
        <v>1200</v>
      </c>
      <c r="I22">
        <v>5</v>
      </c>
      <c r="J22">
        <v>80</v>
      </c>
      <c r="K22">
        <v>3500</v>
      </c>
    </row>
    <row r="23" spans="1:11" x14ac:dyDescent="0.25">
      <c r="A23" t="s">
        <v>36</v>
      </c>
      <c r="B23">
        <v>12</v>
      </c>
      <c r="C23" t="s">
        <v>17</v>
      </c>
      <c r="D23" t="s">
        <v>13</v>
      </c>
      <c r="E23" t="s">
        <v>24</v>
      </c>
      <c r="F23" t="s">
        <v>37</v>
      </c>
      <c r="G23">
        <v>1</v>
      </c>
      <c r="H23">
        <v>650</v>
      </c>
      <c r="I23">
        <v>5</v>
      </c>
      <c r="J23">
        <v>80</v>
      </c>
      <c r="K23">
        <v>697.5</v>
      </c>
    </row>
    <row r="24" spans="1:11" x14ac:dyDescent="0.25">
      <c r="A24" t="s">
        <v>70</v>
      </c>
      <c r="B24">
        <v>44</v>
      </c>
      <c r="C24" t="s">
        <v>17</v>
      </c>
      <c r="D24" t="s">
        <v>28</v>
      </c>
      <c r="E24" t="s">
        <v>24</v>
      </c>
      <c r="F24" t="s">
        <v>37</v>
      </c>
      <c r="G24">
        <v>1</v>
      </c>
      <c r="H24">
        <v>900</v>
      </c>
      <c r="I24">
        <v>5</v>
      </c>
      <c r="J24">
        <v>80</v>
      </c>
      <c r="K24">
        <v>935</v>
      </c>
    </row>
    <row r="25" spans="1:11" x14ac:dyDescent="0.25">
      <c r="A25" t="s">
        <v>43</v>
      </c>
      <c r="B25">
        <v>17</v>
      </c>
      <c r="C25" t="s">
        <v>20</v>
      </c>
      <c r="D25" t="s">
        <v>28</v>
      </c>
      <c r="E25" t="s">
        <v>14</v>
      </c>
      <c r="F25" t="s">
        <v>37</v>
      </c>
      <c r="G25">
        <v>4</v>
      </c>
      <c r="H25">
        <v>250</v>
      </c>
      <c r="I25">
        <v>5</v>
      </c>
      <c r="J25">
        <v>100</v>
      </c>
      <c r="K25">
        <v>1050</v>
      </c>
    </row>
    <row r="26" spans="1:11" x14ac:dyDescent="0.25">
      <c r="A26" t="s">
        <v>63</v>
      </c>
      <c r="B26">
        <v>37</v>
      </c>
      <c r="C26" t="s">
        <v>27</v>
      </c>
      <c r="D26" t="s">
        <v>30</v>
      </c>
      <c r="E26" t="s">
        <v>24</v>
      </c>
      <c r="F26" t="s">
        <v>22</v>
      </c>
      <c r="G26">
        <v>1</v>
      </c>
      <c r="H26">
        <v>1800</v>
      </c>
      <c r="I26">
        <v>5</v>
      </c>
      <c r="J26">
        <v>0</v>
      </c>
      <c r="K26">
        <v>1710</v>
      </c>
    </row>
    <row r="27" spans="1:11" x14ac:dyDescent="0.25">
      <c r="A27" t="s">
        <v>33</v>
      </c>
      <c r="B27">
        <v>9</v>
      </c>
      <c r="C27" t="s">
        <v>12</v>
      </c>
      <c r="D27" t="s">
        <v>13</v>
      </c>
      <c r="E27" t="s">
        <v>24</v>
      </c>
      <c r="F27" t="s">
        <v>22</v>
      </c>
      <c r="G27">
        <v>4</v>
      </c>
      <c r="H27">
        <v>650</v>
      </c>
      <c r="I27">
        <v>5</v>
      </c>
      <c r="J27">
        <v>80</v>
      </c>
      <c r="K27">
        <v>2550</v>
      </c>
    </row>
    <row r="28" spans="1:11" x14ac:dyDescent="0.25">
      <c r="A28" t="s">
        <v>44</v>
      </c>
      <c r="B28">
        <v>18</v>
      </c>
      <c r="C28" t="s">
        <v>17</v>
      </c>
      <c r="D28" t="s">
        <v>40</v>
      </c>
      <c r="E28" t="s">
        <v>14</v>
      </c>
      <c r="F28" t="s">
        <v>22</v>
      </c>
      <c r="G28">
        <v>1</v>
      </c>
      <c r="H28">
        <v>250</v>
      </c>
      <c r="I28">
        <v>5</v>
      </c>
      <c r="J28">
        <v>50</v>
      </c>
      <c r="K28">
        <v>287.5</v>
      </c>
    </row>
    <row r="29" spans="1:11" x14ac:dyDescent="0.25">
      <c r="A29" t="s">
        <v>35</v>
      </c>
      <c r="B29">
        <v>11</v>
      </c>
      <c r="C29" t="s">
        <v>20</v>
      </c>
      <c r="D29" t="s">
        <v>28</v>
      </c>
      <c r="E29" t="s">
        <v>14</v>
      </c>
      <c r="F29" t="s">
        <v>22</v>
      </c>
      <c r="G29">
        <v>1</v>
      </c>
      <c r="H29">
        <v>650</v>
      </c>
      <c r="I29">
        <v>5</v>
      </c>
      <c r="J29">
        <v>100</v>
      </c>
      <c r="K29">
        <v>717.5</v>
      </c>
    </row>
    <row r="30" spans="1:11" x14ac:dyDescent="0.25">
      <c r="A30" t="s">
        <v>19</v>
      </c>
      <c r="B30">
        <v>3</v>
      </c>
      <c r="C30" t="s">
        <v>20</v>
      </c>
      <c r="D30" t="s">
        <v>21</v>
      </c>
      <c r="E30" t="s">
        <v>14</v>
      </c>
      <c r="F30" t="s">
        <v>22</v>
      </c>
      <c r="G30">
        <v>3</v>
      </c>
      <c r="H30">
        <v>900</v>
      </c>
      <c r="I30">
        <v>5</v>
      </c>
      <c r="J30">
        <v>100</v>
      </c>
      <c r="K30">
        <v>2665</v>
      </c>
    </row>
    <row r="31" spans="1:11" x14ac:dyDescent="0.25">
      <c r="A31" t="s">
        <v>75</v>
      </c>
      <c r="B31">
        <v>49</v>
      </c>
      <c r="C31" t="s">
        <v>17</v>
      </c>
      <c r="D31" t="s">
        <v>18</v>
      </c>
      <c r="E31" t="s">
        <v>24</v>
      </c>
      <c r="F31" t="s">
        <v>25</v>
      </c>
      <c r="G31">
        <v>2</v>
      </c>
      <c r="H31">
        <v>1200</v>
      </c>
      <c r="I31">
        <v>5</v>
      </c>
      <c r="J31">
        <v>50</v>
      </c>
      <c r="K31">
        <v>2330</v>
      </c>
    </row>
    <row r="32" spans="1:11" x14ac:dyDescent="0.25">
      <c r="A32" t="s">
        <v>39</v>
      </c>
      <c r="B32">
        <v>14</v>
      </c>
      <c r="C32" t="s">
        <v>27</v>
      </c>
      <c r="D32" t="s">
        <v>40</v>
      </c>
      <c r="E32" t="s">
        <v>24</v>
      </c>
      <c r="F32" t="s">
        <v>25</v>
      </c>
      <c r="G32">
        <v>2</v>
      </c>
      <c r="H32">
        <v>250</v>
      </c>
      <c r="I32">
        <v>5</v>
      </c>
      <c r="J32">
        <v>100</v>
      </c>
      <c r="K32">
        <v>575</v>
      </c>
    </row>
    <row r="33" spans="1:11" x14ac:dyDescent="0.25">
      <c r="A33" t="s">
        <v>60</v>
      </c>
      <c r="B33">
        <v>34</v>
      </c>
      <c r="C33" t="s">
        <v>20</v>
      </c>
      <c r="D33" t="s">
        <v>40</v>
      </c>
      <c r="E33" t="s">
        <v>24</v>
      </c>
      <c r="F33" t="s">
        <v>25</v>
      </c>
      <c r="G33">
        <v>1</v>
      </c>
      <c r="H33">
        <v>450</v>
      </c>
      <c r="I33">
        <v>5</v>
      </c>
      <c r="J33">
        <v>80</v>
      </c>
      <c r="K33">
        <v>507.5</v>
      </c>
    </row>
    <row r="34" spans="1:11" x14ac:dyDescent="0.25">
      <c r="A34" t="s">
        <v>74</v>
      </c>
      <c r="B34">
        <v>48</v>
      </c>
      <c r="C34" t="s">
        <v>17</v>
      </c>
      <c r="D34" t="s">
        <v>30</v>
      </c>
      <c r="E34" t="s">
        <v>14</v>
      </c>
      <c r="F34" t="s">
        <v>25</v>
      </c>
      <c r="G34">
        <v>1</v>
      </c>
      <c r="H34">
        <v>650</v>
      </c>
      <c r="I34">
        <v>5</v>
      </c>
      <c r="J34">
        <v>50</v>
      </c>
      <c r="K34">
        <v>667.5</v>
      </c>
    </row>
    <row r="35" spans="1:11" x14ac:dyDescent="0.25">
      <c r="A35" t="s">
        <v>56</v>
      </c>
      <c r="B35">
        <v>30</v>
      </c>
      <c r="C35" t="s">
        <v>12</v>
      </c>
      <c r="D35" t="s">
        <v>18</v>
      </c>
      <c r="E35" t="s">
        <v>14</v>
      </c>
      <c r="F35" t="s">
        <v>15</v>
      </c>
      <c r="G35">
        <v>2</v>
      </c>
      <c r="H35">
        <v>900</v>
      </c>
      <c r="I35">
        <v>10</v>
      </c>
      <c r="J35">
        <v>50</v>
      </c>
      <c r="K35">
        <v>1670</v>
      </c>
    </row>
    <row r="36" spans="1:11" x14ac:dyDescent="0.25">
      <c r="A36" t="s">
        <v>47</v>
      </c>
      <c r="B36">
        <v>21</v>
      </c>
      <c r="C36" t="s">
        <v>27</v>
      </c>
      <c r="D36" t="s">
        <v>13</v>
      </c>
      <c r="E36" t="s">
        <v>14</v>
      </c>
      <c r="F36" t="s">
        <v>15</v>
      </c>
      <c r="G36">
        <v>4</v>
      </c>
      <c r="H36">
        <v>250</v>
      </c>
      <c r="I36">
        <v>10</v>
      </c>
      <c r="J36">
        <v>80</v>
      </c>
      <c r="K36">
        <v>980</v>
      </c>
    </row>
    <row r="37" spans="1:11" x14ac:dyDescent="0.25">
      <c r="A37" t="s">
        <v>58</v>
      </c>
      <c r="B37">
        <v>32</v>
      </c>
      <c r="C37" t="s">
        <v>12</v>
      </c>
      <c r="D37" t="s">
        <v>21</v>
      </c>
      <c r="E37" t="s">
        <v>14</v>
      </c>
      <c r="F37" t="s">
        <v>37</v>
      </c>
      <c r="G37">
        <v>4</v>
      </c>
      <c r="H37">
        <v>250</v>
      </c>
      <c r="I37">
        <v>10</v>
      </c>
      <c r="J37">
        <v>100</v>
      </c>
      <c r="K37">
        <v>1000</v>
      </c>
    </row>
    <row r="38" spans="1:11" x14ac:dyDescent="0.25">
      <c r="A38" t="s">
        <v>46</v>
      </c>
      <c r="B38">
        <v>20</v>
      </c>
      <c r="C38" t="s">
        <v>20</v>
      </c>
      <c r="D38" t="s">
        <v>30</v>
      </c>
      <c r="E38" t="s">
        <v>24</v>
      </c>
      <c r="F38" t="s">
        <v>22</v>
      </c>
      <c r="G38">
        <v>1</v>
      </c>
      <c r="H38">
        <v>650</v>
      </c>
      <c r="I38">
        <v>10</v>
      </c>
      <c r="J38">
        <v>0</v>
      </c>
      <c r="K38">
        <v>585</v>
      </c>
    </row>
    <row r="39" spans="1:11" x14ac:dyDescent="0.25">
      <c r="A39" t="s">
        <v>67</v>
      </c>
      <c r="B39">
        <v>41</v>
      </c>
      <c r="C39" t="s">
        <v>12</v>
      </c>
      <c r="D39" t="s">
        <v>18</v>
      </c>
      <c r="E39" t="s">
        <v>14</v>
      </c>
      <c r="F39" t="s">
        <v>22</v>
      </c>
      <c r="G39">
        <v>3</v>
      </c>
      <c r="H39">
        <v>650</v>
      </c>
      <c r="I39">
        <v>10</v>
      </c>
      <c r="J39">
        <v>100</v>
      </c>
      <c r="K39">
        <v>1855</v>
      </c>
    </row>
    <row r="40" spans="1:11" x14ac:dyDescent="0.25">
      <c r="A40" t="s">
        <v>69</v>
      </c>
      <c r="B40">
        <v>43</v>
      </c>
      <c r="C40" t="s">
        <v>17</v>
      </c>
      <c r="D40" t="s">
        <v>21</v>
      </c>
      <c r="E40" t="s">
        <v>24</v>
      </c>
      <c r="F40" t="s">
        <v>25</v>
      </c>
      <c r="G40">
        <v>4</v>
      </c>
      <c r="H40">
        <v>650</v>
      </c>
      <c r="I40">
        <v>10</v>
      </c>
      <c r="J40">
        <v>0</v>
      </c>
      <c r="K40">
        <v>2340</v>
      </c>
    </row>
    <row r="41" spans="1:11" x14ac:dyDescent="0.25">
      <c r="A41" t="s">
        <v>54</v>
      </c>
      <c r="B41">
        <v>28</v>
      </c>
      <c r="C41" t="s">
        <v>12</v>
      </c>
      <c r="D41" t="s">
        <v>18</v>
      </c>
      <c r="E41" t="s">
        <v>14</v>
      </c>
      <c r="F41" t="s">
        <v>25</v>
      </c>
      <c r="G41">
        <v>3</v>
      </c>
      <c r="H41">
        <v>650</v>
      </c>
      <c r="I41">
        <v>10</v>
      </c>
      <c r="J41">
        <v>100</v>
      </c>
      <c r="K41">
        <v>1855</v>
      </c>
    </row>
    <row r="42" spans="1:11" x14ac:dyDescent="0.25">
      <c r="A42" t="s">
        <v>48</v>
      </c>
      <c r="B42">
        <v>22</v>
      </c>
      <c r="C42" t="s">
        <v>20</v>
      </c>
      <c r="D42" t="s">
        <v>28</v>
      </c>
      <c r="E42" t="s">
        <v>14</v>
      </c>
      <c r="F42" t="s">
        <v>15</v>
      </c>
      <c r="G42">
        <v>4</v>
      </c>
      <c r="H42">
        <v>450</v>
      </c>
      <c r="I42">
        <v>15</v>
      </c>
      <c r="J42">
        <v>0</v>
      </c>
      <c r="K42">
        <v>1530</v>
      </c>
    </row>
    <row r="43" spans="1:11" x14ac:dyDescent="0.25">
      <c r="A43" t="s">
        <v>31</v>
      </c>
      <c r="B43">
        <v>7</v>
      </c>
      <c r="C43" t="s">
        <v>20</v>
      </c>
      <c r="D43" t="s">
        <v>21</v>
      </c>
      <c r="E43" t="s">
        <v>14</v>
      </c>
      <c r="F43" t="s">
        <v>15</v>
      </c>
      <c r="G43">
        <v>2</v>
      </c>
      <c r="H43">
        <v>1200</v>
      </c>
      <c r="I43">
        <v>15</v>
      </c>
      <c r="J43">
        <v>0</v>
      </c>
      <c r="K43">
        <v>2040</v>
      </c>
    </row>
    <row r="44" spans="1:11" x14ac:dyDescent="0.25">
      <c r="A44" t="s">
        <v>65</v>
      </c>
      <c r="B44">
        <v>39</v>
      </c>
      <c r="C44" t="s">
        <v>12</v>
      </c>
      <c r="D44" t="s">
        <v>30</v>
      </c>
      <c r="E44" t="s">
        <v>14</v>
      </c>
      <c r="F44" t="s">
        <v>37</v>
      </c>
      <c r="G44">
        <v>4</v>
      </c>
      <c r="H44">
        <v>1200</v>
      </c>
      <c r="I44">
        <v>15</v>
      </c>
      <c r="J44">
        <v>0</v>
      </c>
      <c r="K44">
        <v>4080</v>
      </c>
    </row>
    <row r="45" spans="1:11" x14ac:dyDescent="0.25">
      <c r="A45" t="s">
        <v>45</v>
      </c>
      <c r="B45">
        <v>19</v>
      </c>
      <c r="C45" t="s">
        <v>27</v>
      </c>
      <c r="D45" t="s">
        <v>28</v>
      </c>
      <c r="E45" t="s">
        <v>14</v>
      </c>
      <c r="F45" t="s">
        <v>37</v>
      </c>
      <c r="G45">
        <v>1</v>
      </c>
      <c r="H45">
        <v>650</v>
      </c>
      <c r="I45">
        <v>15</v>
      </c>
      <c r="J45">
        <v>80</v>
      </c>
      <c r="K45">
        <v>632.5</v>
      </c>
    </row>
    <row r="46" spans="1:11" x14ac:dyDescent="0.25">
      <c r="A46" t="s">
        <v>57</v>
      </c>
      <c r="B46">
        <v>31</v>
      </c>
      <c r="C46" t="s">
        <v>27</v>
      </c>
      <c r="D46" t="s">
        <v>13</v>
      </c>
      <c r="E46" t="s">
        <v>24</v>
      </c>
      <c r="F46" t="s">
        <v>22</v>
      </c>
      <c r="G46">
        <v>4</v>
      </c>
      <c r="H46">
        <v>450</v>
      </c>
      <c r="I46">
        <v>15</v>
      </c>
      <c r="J46">
        <v>80</v>
      </c>
      <c r="K46">
        <v>1610</v>
      </c>
    </row>
    <row r="47" spans="1:11" x14ac:dyDescent="0.25">
      <c r="A47" t="s">
        <v>53</v>
      </c>
      <c r="B47">
        <v>27</v>
      </c>
      <c r="C47" t="s">
        <v>12</v>
      </c>
      <c r="D47" t="s">
        <v>21</v>
      </c>
      <c r="E47" t="s">
        <v>24</v>
      </c>
      <c r="F47" t="s">
        <v>22</v>
      </c>
      <c r="G47">
        <v>3</v>
      </c>
      <c r="H47">
        <v>650</v>
      </c>
      <c r="I47">
        <v>15</v>
      </c>
      <c r="J47">
        <v>80</v>
      </c>
      <c r="K47">
        <v>1737.5</v>
      </c>
    </row>
    <row r="48" spans="1:11" x14ac:dyDescent="0.25">
      <c r="A48" t="s">
        <v>61</v>
      </c>
      <c r="B48">
        <v>35</v>
      </c>
      <c r="C48" t="s">
        <v>12</v>
      </c>
      <c r="D48" t="s">
        <v>28</v>
      </c>
      <c r="E48" t="s">
        <v>14</v>
      </c>
      <c r="F48" t="s">
        <v>22</v>
      </c>
      <c r="G48">
        <v>4</v>
      </c>
      <c r="H48">
        <v>650</v>
      </c>
      <c r="I48">
        <v>15</v>
      </c>
      <c r="J48">
        <v>100</v>
      </c>
      <c r="K48">
        <v>2310</v>
      </c>
    </row>
    <row r="49" spans="1:11" x14ac:dyDescent="0.25">
      <c r="A49" t="s">
        <v>71</v>
      </c>
      <c r="B49">
        <v>45</v>
      </c>
      <c r="C49" t="s">
        <v>12</v>
      </c>
      <c r="D49" t="s">
        <v>28</v>
      </c>
      <c r="E49" t="s">
        <v>14</v>
      </c>
      <c r="F49" t="s">
        <v>22</v>
      </c>
      <c r="G49">
        <v>1</v>
      </c>
      <c r="H49">
        <v>900</v>
      </c>
      <c r="I49">
        <v>15</v>
      </c>
      <c r="J49">
        <v>50</v>
      </c>
      <c r="K49">
        <v>815</v>
      </c>
    </row>
    <row r="50" spans="1:11" x14ac:dyDescent="0.25">
      <c r="A50" t="s">
        <v>23</v>
      </c>
      <c r="B50">
        <v>4</v>
      </c>
      <c r="C50" t="s">
        <v>12</v>
      </c>
      <c r="D50" t="s">
        <v>21</v>
      </c>
      <c r="E50" t="s">
        <v>24</v>
      </c>
      <c r="F50" t="s">
        <v>25</v>
      </c>
      <c r="G50">
        <v>3</v>
      </c>
      <c r="H50">
        <v>650</v>
      </c>
      <c r="I50">
        <v>15</v>
      </c>
      <c r="J50">
        <v>0</v>
      </c>
      <c r="K50">
        <v>1657.5</v>
      </c>
    </row>
    <row r="51" spans="1:11" x14ac:dyDescent="0.25">
      <c r="A51" t="s">
        <v>59</v>
      </c>
      <c r="B51">
        <v>33</v>
      </c>
      <c r="C51" t="s">
        <v>20</v>
      </c>
      <c r="D51" t="s">
        <v>13</v>
      </c>
      <c r="E51" t="s">
        <v>14</v>
      </c>
      <c r="F51" t="s">
        <v>25</v>
      </c>
      <c r="G51">
        <v>3</v>
      </c>
      <c r="H51">
        <v>1200</v>
      </c>
      <c r="I51">
        <v>15</v>
      </c>
      <c r="J51">
        <v>80</v>
      </c>
      <c r="K51">
        <v>3140</v>
      </c>
    </row>
  </sheetData>
  <sortState xmlns:xlrd2="http://schemas.microsoft.com/office/spreadsheetml/2017/richdata2" ref="A2:K51">
    <sortCondition ref="I1:I51"/>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00FD48-EBBC-4171-9AD1-A83D8AA5F591}">
  <dimension ref="A1:W129"/>
  <sheetViews>
    <sheetView tabSelected="1" workbookViewId="0">
      <selection activeCell="E70" sqref="E70"/>
    </sheetView>
  </sheetViews>
  <sheetFormatPr defaultRowHeight="15" x14ac:dyDescent="0.25"/>
  <cols>
    <col min="1" max="1" width="13.42578125" bestFit="1" customWidth="1"/>
    <col min="2" max="2" width="6" bestFit="1" customWidth="1"/>
    <col min="3" max="3" width="12.28515625" bestFit="1" customWidth="1"/>
    <col min="4" max="4" width="17.85546875" bestFit="1" customWidth="1"/>
  </cols>
  <sheetData>
    <row r="1" spans="1:23" x14ac:dyDescent="0.25">
      <c r="A1" s="1" t="s">
        <v>120</v>
      </c>
      <c r="B1" s="27"/>
      <c r="C1" s="27"/>
      <c r="D1" s="27"/>
      <c r="E1" s="27"/>
      <c r="F1" s="27"/>
      <c r="G1" s="27"/>
      <c r="H1" s="30" t="s">
        <v>121</v>
      </c>
      <c r="I1" s="27"/>
      <c r="J1" s="27"/>
      <c r="K1" s="27"/>
      <c r="L1" s="27"/>
      <c r="M1" s="27"/>
      <c r="N1" s="27"/>
      <c r="O1" s="27"/>
      <c r="P1" s="27"/>
      <c r="Q1" s="27"/>
      <c r="R1" s="27"/>
      <c r="S1" s="27"/>
      <c r="T1" s="27"/>
      <c r="U1" s="27"/>
      <c r="V1" s="27"/>
      <c r="W1" s="27"/>
    </row>
    <row r="2" spans="1:23" x14ac:dyDescent="0.25">
      <c r="A2" s="28" t="s">
        <v>77</v>
      </c>
      <c r="B2" s="29"/>
      <c r="C2" s="29"/>
      <c r="D2" s="29"/>
    </row>
    <row r="3" spans="1:23" x14ac:dyDescent="0.25">
      <c r="A3" s="3" t="s">
        <v>78</v>
      </c>
      <c r="B3" s="3"/>
    </row>
    <row r="4" spans="1:23" ht="15.75" x14ac:dyDescent="0.25">
      <c r="A4" s="4" t="s">
        <v>79</v>
      </c>
      <c r="B4" s="4"/>
      <c r="C4" s="4"/>
      <c r="D4" s="4"/>
      <c r="E4" s="4"/>
      <c r="F4" s="4"/>
      <c r="G4" s="4"/>
      <c r="H4" s="4"/>
      <c r="I4" s="4"/>
      <c r="J4" s="4"/>
      <c r="K4" s="4"/>
      <c r="L4" s="4"/>
      <c r="M4" s="4"/>
      <c r="N4" s="4"/>
    </row>
    <row r="6" spans="1:23" x14ac:dyDescent="0.25">
      <c r="A6" s="1" t="s">
        <v>80</v>
      </c>
    </row>
    <row r="7" spans="1:23" x14ac:dyDescent="0.25">
      <c r="A7" s="5" t="s">
        <v>81</v>
      </c>
      <c r="B7" s="5">
        <f>SUM('CASE 2'!K2:K51)</f>
        <v>86680</v>
      </c>
    </row>
    <row r="8" spans="1:23" x14ac:dyDescent="0.25">
      <c r="A8" s="5" t="s">
        <v>82</v>
      </c>
      <c r="B8" s="5">
        <f>AVERAGE('CASE 2'!K2:K51)</f>
        <v>1733.6</v>
      </c>
    </row>
    <row r="9" spans="1:23" x14ac:dyDescent="0.25">
      <c r="A9" s="5" t="s">
        <v>83</v>
      </c>
      <c r="B9" s="5">
        <f>MEDIAN('CASE 2'!K2:K51)</f>
        <v>1570</v>
      </c>
    </row>
    <row r="10" spans="1:23" x14ac:dyDescent="0.25">
      <c r="A10" s="5" t="s">
        <v>84</v>
      </c>
      <c r="B10" s="5">
        <f>MIN('CASE 2'!K2:K51)</f>
        <v>287.5</v>
      </c>
    </row>
    <row r="11" spans="1:23" x14ac:dyDescent="0.25">
      <c r="A11" s="5" t="s">
        <v>85</v>
      </c>
      <c r="B11" s="5">
        <f>MAX('CASE 2'!K2:K51)</f>
        <v>7250</v>
      </c>
    </row>
    <row r="13" spans="1:23" x14ac:dyDescent="0.25">
      <c r="A13" s="5" t="s">
        <v>86</v>
      </c>
      <c r="B13" s="6"/>
      <c r="C13" s="6"/>
    </row>
    <row r="14" spans="1:23" x14ac:dyDescent="0.25">
      <c r="A14" s="7" t="s">
        <v>87</v>
      </c>
      <c r="B14" s="7"/>
      <c r="C14" s="5">
        <f>SUM('CASE 2'!G2:G51)</f>
        <v>123</v>
      </c>
    </row>
    <row r="15" spans="1:23" x14ac:dyDescent="0.25">
      <c r="A15" s="7" t="s">
        <v>88</v>
      </c>
      <c r="B15" s="7"/>
      <c r="C15" s="6">
        <f>AVERAGE('CASE 2'!G2:G51)</f>
        <v>2.46</v>
      </c>
    </row>
    <row r="17" spans="1:3" x14ac:dyDescent="0.25">
      <c r="A17" s="3" t="s">
        <v>89</v>
      </c>
      <c r="B17" s="3"/>
      <c r="C17" s="3"/>
    </row>
    <row r="18" spans="1:3" x14ac:dyDescent="0.25">
      <c r="A18" s="5" t="s">
        <v>93</v>
      </c>
      <c r="B18" s="5" t="s">
        <v>90</v>
      </c>
      <c r="C18" s="5" t="s">
        <v>91</v>
      </c>
    </row>
    <row r="19" spans="1:3" x14ac:dyDescent="0.25">
      <c r="A19" s="5" t="str">
        <f>'CASE 2'!C2</f>
        <v>Electronics</v>
      </c>
      <c r="B19" s="6">
        <f>SUM('CASE 2'!K2:K12)</f>
        <v>29040</v>
      </c>
      <c r="C19" s="6">
        <f>COUNTA('CASE 2'!C2:C12)</f>
        <v>11</v>
      </c>
    </row>
    <row r="20" spans="1:3" x14ac:dyDescent="0.25">
      <c r="A20" s="5" t="str">
        <f>'CASE 2'!C13</f>
        <v>Accessories</v>
      </c>
      <c r="B20" s="6">
        <f>SUM('CASE 2'!K13:K19)</f>
        <v>6612.5</v>
      </c>
      <c r="C20" s="6">
        <f>COUNTA('CASE 2'!C13:C19)</f>
        <v>7</v>
      </c>
    </row>
    <row r="21" spans="1:3" x14ac:dyDescent="0.25">
      <c r="A21" s="5" t="str">
        <f>'CASE 2'!C20</f>
        <v>Gadgets</v>
      </c>
      <c r="B21" s="6">
        <f>SUM('CASE 2'!K20:K31)</f>
        <v>19440</v>
      </c>
      <c r="C21" s="6">
        <f>COUNTA('CASE 2'!C20:C31)</f>
        <v>12</v>
      </c>
    </row>
    <row r="22" spans="1:3" x14ac:dyDescent="0.25">
      <c r="A22" s="5" t="str">
        <f>'CASE 2'!C47</f>
        <v>Software</v>
      </c>
      <c r="B22" s="6">
        <f>SUM('CASE 2'!K32:K51)</f>
        <v>31587.5</v>
      </c>
      <c r="C22" s="6">
        <f>COUNTA('CASE 2'!C32:C51)</f>
        <v>20</v>
      </c>
    </row>
    <row r="24" spans="1:3" x14ac:dyDescent="0.25">
      <c r="A24" s="1" t="s">
        <v>92</v>
      </c>
    </row>
    <row r="25" spans="1:3" x14ac:dyDescent="0.25">
      <c r="A25" s="8" t="s">
        <v>94</v>
      </c>
      <c r="B25" s="9" t="s">
        <v>95</v>
      </c>
      <c r="C25" s="9" t="s">
        <v>96</v>
      </c>
    </row>
    <row r="26" spans="1:3" x14ac:dyDescent="0.25">
      <c r="A26" s="10" t="str">
        <f>'CASE 2'!D2</f>
        <v>SSD</v>
      </c>
      <c r="B26" s="11">
        <f>SUM('CASE 2'!K2:K6)</f>
        <v>13730</v>
      </c>
      <c r="C26" s="5">
        <f>SUM('CASE 2'!H2:H6)</f>
        <v>4550</v>
      </c>
    </row>
    <row r="27" spans="1:3" x14ac:dyDescent="0.25">
      <c r="A27" s="6" t="str">
        <f>'CASE 2'!D7</f>
        <v>SSD</v>
      </c>
      <c r="B27" s="5">
        <f>SUM('CASE 2'!K7:K13)</f>
        <v>15640</v>
      </c>
      <c r="C27" s="5">
        <f>SUM('CASE 2'!G7:G13)</f>
        <v>18</v>
      </c>
    </row>
    <row r="28" spans="1:3" x14ac:dyDescent="0.25">
      <c r="A28" s="6" t="str">
        <f>'CASE 2'!D14</f>
        <v>Webcam</v>
      </c>
      <c r="B28" s="5">
        <f>SUM('CASE 2'!K14:K17)</f>
        <v>4205</v>
      </c>
      <c r="C28" s="5">
        <f>SUM('CASE 2'!G14:G17)</f>
        <v>6</v>
      </c>
    </row>
    <row r="29" spans="1:3" x14ac:dyDescent="0.25">
      <c r="A29" s="18" t="str">
        <f>'CASE 2'!D18</f>
        <v>USB Drive</v>
      </c>
      <c r="B29" s="19">
        <f>SUM('CASE 2'!K18:K30)</f>
        <v>19187.5</v>
      </c>
      <c r="C29" s="19">
        <f>SUM('CASE 2'!G18:G30)</f>
        <v>29</v>
      </c>
    </row>
    <row r="30" spans="1:3" x14ac:dyDescent="0.25">
      <c r="A30" s="6" t="str">
        <f>'CASE 2'!D31</f>
        <v>Headset</v>
      </c>
      <c r="B30" s="5">
        <f>SUM('CASE 2'!K31:K41)</f>
        <v>14365</v>
      </c>
      <c r="C30" s="5">
        <f>SUM('CASE 2'!G31:G41)</f>
        <v>27</v>
      </c>
    </row>
    <row r="31" spans="1:3" x14ac:dyDescent="0.25">
      <c r="A31" s="12" t="str">
        <f>'CASE 2'!D42</f>
        <v>USB Drive</v>
      </c>
      <c r="B31" s="13">
        <f>SUM('CASE 2'!K42:K51)</f>
        <v>19552.5</v>
      </c>
      <c r="C31" s="13">
        <f>SUM('CASE 2'!G42:G51)</f>
        <v>29</v>
      </c>
    </row>
    <row r="32" spans="1:3" x14ac:dyDescent="0.25">
      <c r="A32" s="15" t="s">
        <v>97</v>
      </c>
      <c r="B32" s="15"/>
      <c r="C32" s="14">
        <v>21107.5</v>
      </c>
    </row>
    <row r="33" spans="1:4" x14ac:dyDescent="0.25">
      <c r="A33" s="16" t="s">
        <v>98</v>
      </c>
      <c r="B33" s="16"/>
      <c r="C33" s="17">
        <v>33</v>
      </c>
    </row>
    <row r="35" spans="1:4" x14ac:dyDescent="0.25">
      <c r="A35" s="1" t="s">
        <v>99</v>
      </c>
    </row>
    <row r="36" spans="1:4" x14ac:dyDescent="0.25">
      <c r="A36" s="5" t="s">
        <v>102</v>
      </c>
      <c r="B36" s="5" t="s">
        <v>103</v>
      </c>
      <c r="C36" s="5" t="s">
        <v>104</v>
      </c>
      <c r="D36" s="5" t="s">
        <v>90</v>
      </c>
    </row>
    <row r="37" spans="1:4" x14ac:dyDescent="0.25">
      <c r="A37" s="5" t="s">
        <v>100</v>
      </c>
      <c r="B37" s="6">
        <f>COUNTA('CASE 2'!E2:E24)</f>
        <v>23</v>
      </c>
      <c r="C37" s="6">
        <f>AVERAGE('CASE 2'!K2:K24)</f>
        <v>1903.5869565217392</v>
      </c>
      <c r="D37" s="6">
        <f>SUM('CASE 2'!K2:K24)</f>
        <v>43782.5</v>
      </c>
    </row>
    <row r="38" spans="1:4" x14ac:dyDescent="0.25">
      <c r="A38" s="5" t="s">
        <v>101</v>
      </c>
      <c r="B38" s="6">
        <f>COUNTA('CASE 2'!E25:E51)</f>
        <v>27</v>
      </c>
      <c r="C38" s="6">
        <f>AVERAGE('CASE 2'!K25:K51)</f>
        <v>1588.7962962962963</v>
      </c>
      <c r="D38" s="6">
        <f>SUM('CASE 2'!K25:K51)</f>
        <v>42897.5</v>
      </c>
    </row>
    <row r="40" spans="1:4" x14ac:dyDescent="0.25">
      <c r="A40" s="1" t="s">
        <v>105</v>
      </c>
    </row>
    <row r="41" spans="1:4" x14ac:dyDescent="0.25">
      <c r="A41" s="20" t="s">
        <v>106</v>
      </c>
      <c r="B41" s="5" t="s">
        <v>103</v>
      </c>
      <c r="C41" s="5" t="s">
        <v>90</v>
      </c>
    </row>
    <row r="42" spans="1:4" x14ac:dyDescent="0.25">
      <c r="A42" s="5" t="str">
        <f>'CASE 2'!F2</f>
        <v>Bank</v>
      </c>
      <c r="B42" s="21">
        <f>COUNTA('CASE 2'!F2:F18)</f>
        <v>17</v>
      </c>
      <c r="C42" s="21">
        <f>SUM('CASE 2'!K2:K18)</f>
        <v>35335</v>
      </c>
    </row>
    <row r="43" spans="1:4" x14ac:dyDescent="0.25">
      <c r="A43" s="5" t="str">
        <f>'CASE 2'!F19</f>
        <v>Bank</v>
      </c>
      <c r="B43" s="21">
        <f>COUNTA('CASE 2'!F19:F26)</f>
        <v>8</v>
      </c>
      <c r="C43" s="21">
        <f>SUM('CASE 2'!K19:K26)</f>
        <v>11207.5</v>
      </c>
    </row>
    <row r="44" spans="1:4" x14ac:dyDescent="0.25">
      <c r="A44" s="5" t="str">
        <f>'CASE 2'!F27</f>
        <v>COD</v>
      </c>
      <c r="B44" s="21">
        <f>COUNTA('CASE 2'!F27:F40)</f>
        <v>14</v>
      </c>
      <c r="C44" s="21">
        <f>SUM('CASE 2'!K27:K40)</f>
        <v>18730</v>
      </c>
    </row>
    <row r="45" spans="1:4" x14ac:dyDescent="0.25">
      <c r="A45" s="5" t="str">
        <f>'CASE 2'!F41</f>
        <v>GCash</v>
      </c>
      <c r="B45" s="21">
        <f>COUNTA('CASE 2'!F41:F51)</f>
        <v>11</v>
      </c>
      <c r="C45" s="21">
        <f>SUM('CASE 2'!K41:K51)</f>
        <v>21407.5</v>
      </c>
    </row>
    <row r="47" spans="1:4" x14ac:dyDescent="0.25">
      <c r="A47" s="1" t="s">
        <v>107</v>
      </c>
    </row>
    <row r="48" spans="1:4" x14ac:dyDescent="0.25">
      <c r="A48" s="5" t="s">
        <v>108</v>
      </c>
      <c r="B48" s="9" t="s">
        <v>95</v>
      </c>
    </row>
    <row r="49" spans="1:2" x14ac:dyDescent="0.25">
      <c r="A49" s="22">
        <v>0</v>
      </c>
      <c r="B49" s="6">
        <f>SUM('CASE 2'!K2:K14)</f>
        <v>29670</v>
      </c>
    </row>
    <row r="50" spans="1:2" x14ac:dyDescent="0.25">
      <c r="A50" s="22">
        <v>0.05</v>
      </c>
      <c r="B50" s="6">
        <f>SUM('CASE 2'!K15:K34)</f>
        <v>27172.5</v>
      </c>
    </row>
    <row r="51" spans="1:2" x14ac:dyDescent="0.25">
      <c r="A51" s="22">
        <v>0.1</v>
      </c>
      <c r="B51" s="6">
        <f>SUM('CASE 2'!K35:K41)</f>
        <v>10285</v>
      </c>
    </row>
    <row r="52" spans="1:2" x14ac:dyDescent="0.25">
      <c r="A52" s="22">
        <v>0.15</v>
      </c>
      <c r="B52" s="6">
        <f>SUM('CASE 2'!K42:K51)</f>
        <v>19552.5</v>
      </c>
    </row>
    <row r="54" spans="1:2" x14ac:dyDescent="0.25">
      <c r="A54" s="1" t="s">
        <v>109</v>
      </c>
    </row>
    <row r="101" spans="1:4" x14ac:dyDescent="0.25">
      <c r="A101" s="1" t="s">
        <v>110</v>
      </c>
    </row>
    <row r="102" spans="1:4" x14ac:dyDescent="0.25">
      <c r="A102" s="23" t="s">
        <v>2</v>
      </c>
      <c r="B102" s="6" t="s">
        <v>112</v>
      </c>
      <c r="C102" s="6" t="s">
        <v>113</v>
      </c>
      <c r="D102" s="6" t="s">
        <v>114</v>
      </c>
    </row>
    <row r="103" spans="1:4" x14ac:dyDescent="0.25">
      <c r="A103" s="24" t="s">
        <v>17</v>
      </c>
      <c r="B103" s="25">
        <v>11</v>
      </c>
      <c r="C103" s="25">
        <v>24</v>
      </c>
      <c r="D103" s="25">
        <v>22757.5</v>
      </c>
    </row>
    <row r="104" spans="1:4" x14ac:dyDescent="0.25">
      <c r="A104" s="24" t="s">
        <v>27</v>
      </c>
      <c r="B104" s="25">
        <v>7</v>
      </c>
      <c r="C104" s="25">
        <v>17</v>
      </c>
      <c r="D104" s="25">
        <v>9347.5</v>
      </c>
    </row>
    <row r="105" spans="1:4" x14ac:dyDescent="0.25">
      <c r="A105" s="24" t="s">
        <v>20</v>
      </c>
      <c r="B105" s="25">
        <v>12</v>
      </c>
      <c r="C105" s="25">
        <v>29</v>
      </c>
      <c r="D105" s="25">
        <v>16937.5</v>
      </c>
    </row>
    <row r="106" spans="1:4" x14ac:dyDescent="0.25">
      <c r="A106" s="24" t="s">
        <v>12</v>
      </c>
      <c r="B106" s="25">
        <v>20</v>
      </c>
      <c r="C106" s="25">
        <v>53</v>
      </c>
      <c r="D106" s="25">
        <v>37637.5</v>
      </c>
    </row>
    <row r="107" spans="1:4" x14ac:dyDescent="0.25">
      <c r="A107" s="24" t="s">
        <v>111</v>
      </c>
      <c r="B107" s="25">
        <v>50</v>
      </c>
      <c r="C107" s="25">
        <v>123</v>
      </c>
      <c r="D107" s="25">
        <v>86680</v>
      </c>
    </row>
    <row r="109" spans="1:4" x14ac:dyDescent="0.25">
      <c r="A109" s="1" t="s">
        <v>115</v>
      </c>
    </row>
    <row r="110" spans="1:4" x14ac:dyDescent="0.25">
      <c r="A110" s="23" t="s">
        <v>116</v>
      </c>
      <c r="B110" s="6" t="s">
        <v>117</v>
      </c>
    </row>
    <row r="111" spans="1:4" x14ac:dyDescent="0.25">
      <c r="A111" s="24" t="s">
        <v>50</v>
      </c>
      <c r="B111" s="25">
        <v>7250</v>
      </c>
    </row>
    <row r="112" spans="1:4" x14ac:dyDescent="0.25">
      <c r="A112" s="24" t="s">
        <v>49</v>
      </c>
      <c r="B112" s="25">
        <v>5400</v>
      </c>
    </row>
    <row r="113" spans="1:7" x14ac:dyDescent="0.25">
      <c r="A113" s="24" t="s">
        <v>16</v>
      </c>
      <c r="B113" s="25">
        <v>4850</v>
      </c>
    </row>
    <row r="114" spans="1:7" x14ac:dyDescent="0.25">
      <c r="A114" s="24" t="s">
        <v>65</v>
      </c>
      <c r="B114" s="25">
        <v>4080</v>
      </c>
    </row>
    <row r="115" spans="1:7" x14ac:dyDescent="0.25">
      <c r="A115" s="24" t="s">
        <v>64</v>
      </c>
      <c r="B115" s="25">
        <v>3650</v>
      </c>
    </row>
    <row r="116" spans="1:7" x14ac:dyDescent="0.25">
      <c r="A116" s="24" t="s">
        <v>111</v>
      </c>
      <c r="B116" s="25">
        <v>25230</v>
      </c>
    </row>
    <row r="119" spans="1:7" x14ac:dyDescent="0.25">
      <c r="A119" s="1" t="s">
        <v>118</v>
      </c>
    </row>
    <row r="120" spans="1:7" x14ac:dyDescent="0.25">
      <c r="B120" s="2"/>
      <c r="C120" s="2"/>
      <c r="D120" s="2"/>
      <c r="E120" s="2"/>
      <c r="F120" s="2"/>
      <c r="G120" s="2"/>
    </row>
    <row r="121" spans="1:7" ht="15.75" x14ac:dyDescent="0.25">
      <c r="A121" s="26"/>
    </row>
    <row r="122" spans="1:7" ht="15.75" x14ac:dyDescent="0.25">
      <c r="A122" s="4"/>
    </row>
    <row r="123" spans="1:7" ht="15.75" x14ac:dyDescent="0.25">
      <c r="A123" s="4"/>
    </row>
    <row r="124" spans="1:7" ht="15.75" x14ac:dyDescent="0.25">
      <c r="A124" s="4"/>
    </row>
    <row r="129" spans="1:1" x14ac:dyDescent="0.25">
      <c r="A129" s="1" t="s">
        <v>119</v>
      </c>
    </row>
  </sheetData>
  <mergeCells count="6">
    <mergeCell ref="A32:B32"/>
    <mergeCell ref="A33:B33"/>
    <mergeCell ref="A3:B3"/>
    <mergeCell ref="A14:B14"/>
    <mergeCell ref="A15:B15"/>
    <mergeCell ref="A17:C17"/>
  </mergeCells>
  <phoneticPr fontId="4" type="noConversion"/>
  <pageMargins left="0.7" right="0.7" top="0.75" bottom="0.75" header="0.3" footer="0.3"/>
  <pageSetup paperSize="9" orientation="portrait" horizontalDpi="0" verticalDpi="0" r:id="rId3"/>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CASE 2</vt:lpstr>
      <vt:lpstr>ANSWER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CLient</dc:creator>
  <cp:lastModifiedBy>CLient</cp:lastModifiedBy>
  <dcterms:created xsi:type="dcterms:W3CDTF">2026-09-17T10:19:47Z</dcterms:created>
  <dcterms:modified xsi:type="dcterms:W3CDTF">2026-09-17T12:29:32Z</dcterms:modified>
</cp:coreProperties>
</file>